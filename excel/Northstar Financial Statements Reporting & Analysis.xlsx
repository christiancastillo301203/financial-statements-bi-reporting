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hidePivotFieldList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oseb\OneDrive\Desktop\PERSONAL\PORTAFOLIO\Income Statement BI\OWN\"/>
    </mc:Choice>
  </mc:AlternateContent>
  <xr:revisionPtr revIDLastSave="0" documentId="13_ncr:1_{A252459B-127E-44D4-B733-D4569520DABE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nection Check" sheetId="1" r:id="rId1"/>
    <sheet name="Cube Template" sheetId="3" r:id="rId2"/>
    <sheet name="Cash Flow Statement" sheetId="4" r:id="rId3"/>
  </sheets>
  <calcPr calcId="191028" iterateCount="1" calcOnSave="0" concurrentCalc="0"/>
  <pivotCaches>
    <pivotCache cacheId="6" r:id="rId4"/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4" l="1"/>
  <c r="C20" i="4"/>
  <c r="D4" i="4"/>
  <c r="D20" i="4"/>
  <c r="E4" i="4"/>
  <c r="E20" i="4"/>
  <c r="C21" i="4"/>
  <c r="D21" i="4"/>
  <c r="E21" i="4"/>
  <c r="C24" i="4"/>
  <c r="D24" i="4"/>
  <c r="E24" i="4"/>
  <c r="C25" i="4"/>
  <c r="D25" i="4"/>
  <c r="E25" i="4"/>
  <c r="C26" i="4"/>
  <c r="D26" i="4"/>
  <c r="E26" i="4"/>
  <c r="C27" i="4"/>
  <c r="D27" i="4"/>
  <c r="E27" i="4"/>
  <c r="C28" i="4"/>
  <c r="D28" i="4"/>
  <c r="E28" i="4"/>
  <c r="C7" i="4"/>
  <c r="C8" i="4"/>
  <c r="C10" i="4"/>
  <c r="C11" i="4"/>
  <c r="C12" i="4"/>
  <c r="C13" i="4"/>
  <c r="C14" i="4"/>
  <c r="C15" i="4"/>
  <c r="C16" i="4"/>
  <c r="C17" i="4"/>
  <c r="C30" i="4"/>
  <c r="D7" i="4"/>
  <c r="D8" i="4"/>
  <c r="D10" i="4"/>
  <c r="D11" i="4"/>
  <c r="D12" i="4"/>
  <c r="D13" i="4"/>
  <c r="D14" i="4"/>
  <c r="D15" i="4"/>
  <c r="D16" i="4"/>
  <c r="D17" i="4"/>
  <c r="D30" i="4"/>
  <c r="E7" i="4"/>
  <c r="E8" i="4"/>
  <c r="E10" i="4"/>
  <c r="E11" i="4"/>
  <c r="E12" i="4"/>
  <c r="E13" i="4"/>
  <c r="E14" i="4"/>
  <c r="E15" i="4"/>
  <c r="E16" i="4"/>
  <c r="E17" i="4"/>
  <c r="E30" i="4"/>
  <c r="C31" i="4"/>
  <c r="C32" i="4"/>
  <c r="D31" i="4"/>
  <c r="D32" i="4"/>
  <c r="E31" i="4"/>
  <c r="E32" i="4"/>
  <c r="C34" i="4"/>
  <c r="D34" i="4"/>
  <c r="E34" i="4"/>
  <c r="D35" i="4"/>
  <c r="E35" i="4"/>
  <c r="C35" i="4"/>
  <c r="A3" i="3"/>
  <c r="E2" i="3"/>
  <c r="E3" i="3"/>
  <c r="D2" i="3"/>
  <c r="D3" i="3"/>
  <c r="C2" i="3"/>
  <c r="C3" i="3"/>
  <c r="B2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7166fa81-c3df-42e3-80e1-a70c4997ce97 Model" type="5" refreshedVersion="8" background="1" refreshOnLoad="1">
    <dbPr connection="Provider=MSOLAP.8;Integrated Security=ClaimsToken;Persist Security Info=True;Initial Catalog=sobe_wowvirtualserver-7166fa81-c3df-42e3-80e1-a70c4997ce9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7">
    <s v="pbiazure://api.powerbi.com 7166fa81-c3df-42e3-80e1-a70c4997ce97 Model"/>
    <s v="[Measures].[Net Income]"/>
    <s v="[DimDate].[Year].[All]"/>
    <s v="[DimDate].[Year].&amp;[2025]"/>
    <s v="[DimDate].[Year].&amp;[2024]"/>
    <s v="[DimDate].[Year].&amp;[2023]"/>
    <s v="\$#,0.###############;(\$#,0.###############);\$#,0.###############"/>
    <s v="[Measures].[Reporting Amount]"/>
    <s v="[DimGLAccount].[Subcategory].&amp;[Depreciation Expenses]"/>
    <s v="[DimGLAccount].[GLAccountName].&amp;[Cash and Cash Equivalents]"/>
    <s v="[DimJournal].[JournalType].&amp;[Asset Purchase]"/>
    <s v="[DimJournal].[JournalType].&amp;[Debt Financing]"/>
    <s v="[Measures].[Cumulative Balance]"/>
    <s v="[DimJournal].[JournalType].&amp;[Opening Balance]"/>
    <s v="[DimJournal].[JournalType].&amp;[Equity Contribution]"/>
    <s v="[DimJournal].[JournalType].&amp;[Debt Payment]"/>
    <s v="[DimJournal].[JournalType].&amp;[Dividend]"/>
  </metadataStrings>
  <mdxMetadata count="31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v">
      <t c="2" si="6">
        <n x="1"/>
        <n x="2"/>
      </t>
    </mdx>
    <mdx n="0" f="v">
      <t c="2" si="6">
        <n x="1"/>
        <n x="3"/>
      </t>
    </mdx>
    <mdx n="0" f="v">
      <t c="2" si="6">
        <n x="1"/>
        <n x="4"/>
      </t>
    </mdx>
    <mdx n="0" f="v">
      <t c="2" si="6">
        <n x="1"/>
        <n x="5"/>
      </t>
    </mdx>
    <mdx n="0" f="v">
      <t c="3">
        <n x="7"/>
        <n x="8"/>
        <n x="5"/>
      </t>
    </mdx>
    <mdx n="0" f="v">
      <t c="3">
        <n x="7"/>
        <n x="8"/>
        <n x="4"/>
      </t>
    </mdx>
    <mdx n="0" f="v">
      <t c="3">
        <n x="7"/>
        <n x="8"/>
        <n x="3"/>
      </t>
    </mdx>
    <mdx n="0" f="v">
      <t c="4">
        <n x="7"/>
        <n x="9"/>
        <n x="10"/>
        <n x="5"/>
      </t>
    </mdx>
    <mdx n="0" f="v">
      <t c="4">
        <n x="7"/>
        <n x="9"/>
        <n x="10"/>
        <n x="4"/>
      </t>
    </mdx>
    <mdx n="0" f="v">
      <t c="4">
        <n x="7"/>
        <n x="9"/>
        <n x="10"/>
        <n x="3"/>
      </t>
    </mdx>
    <mdx n="0" f="v">
      <t c="4">
        <n x="7"/>
        <n x="9"/>
        <n x="11"/>
        <n x="5"/>
      </t>
    </mdx>
    <mdx n="0" f="v">
      <t c="4">
        <n x="7"/>
        <n x="9"/>
        <n x="14"/>
        <n x="5"/>
      </t>
    </mdx>
    <mdx n="0" f="v">
      <t c="4">
        <n x="7"/>
        <n x="9"/>
        <n x="15"/>
        <n x="5"/>
      </t>
    </mdx>
    <mdx n="0" f="v">
      <t c="4">
        <n x="7"/>
        <n x="9"/>
        <n x="16"/>
        <n x="5"/>
      </t>
    </mdx>
    <mdx n="0" f="v">
      <t c="4">
        <n x="7"/>
        <n x="9"/>
        <n x="11"/>
        <n x="4"/>
      </t>
    </mdx>
    <mdx n="0" f="v">
      <t c="4">
        <n x="7"/>
        <n x="9"/>
        <n x="11"/>
        <n x="3"/>
      </t>
    </mdx>
    <mdx n="0" f="v">
      <t c="4">
        <n x="7"/>
        <n x="9"/>
        <n x="14"/>
        <n x="4"/>
      </t>
    </mdx>
    <mdx n="0" f="v">
      <t c="4">
        <n x="7"/>
        <n x="9"/>
        <n x="14"/>
        <n x="3"/>
      </t>
    </mdx>
    <mdx n="0" f="v">
      <t c="4">
        <n x="7"/>
        <n x="9"/>
        <n x="15"/>
        <n x="4"/>
      </t>
    </mdx>
    <mdx n="0" f="v">
      <t c="4">
        <n x="7"/>
        <n x="9"/>
        <n x="15"/>
        <n x="3"/>
      </t>
    </mdx>
    <mdx n="0" f="v">
      <t c="4">
        <n x="7"/>
        <n x="9"/>
        <n x="16"/>
        <n x="4"/>
      </t>
    </mdx>
    <mdx n="0" f="v">
      <t c="4">
        <n x="7"/>
        <n x="9"/>
        <n x="16"/>
        <n x="3"/>
      </t>
    </mdx>
    <mdx n="0" f="v">
      <t c="3" si="6">
        <n x="12"/>
        <n x="9"/>
        <n x="5"/>
      </t>
    </mdx>
    <mdx n="0" f="v">
      <t c="3" si="6">
        <n x="12"/>
        <n x="9"/>
        <n x="4"/>
      </t>
    </mdx>
    <mdx n="0" f="v">
      <t c="3" si="6">
        <n x="12"/>
        <n x="9"/>
        <n x="3"/>
      </t>
    </mdx>
    <mdx n="0" f="v">
      <t c="4">
        <n x="7"/>
        <n x="9"/>
        <n x="13"/>
        <n x="5"/>
      </t>
    </mdx>
  </mdxMetadata>
  <valueMetadata count="3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</valueMetadata>
</metadata>
</file>

<file path=xl/sharedStrings.xml><?xml version="1.0" encoding="utf-8"?>
<sst xmlns="http://schemas.openxmlformats.org/spreadsheetml/2006/main" count="38" uniqueCount="33">
  <si>
    <t>Column Labels</t>
  </si>
  <si>
    <t>2023</t>
  </si>
  <si>
    <t>2024</t>
  </si>
  <si>
    <t>2025</t>
  </si>
  <si>
    <t>Grand Total</t>
  </si>
  <si>
    <t>Net Income</t>
  </si>
  <si>
    <t>Indirect Method</t>
  </si>
  <si>
    <t>Cash Flow from Operating Activities</t>
  </si>
  <si>
    <t>Depreciation</t>
  </si>
  <si>
    <t>Changes in Non-Cash Working Capital</t>
  </si>
  <si>
    <t>Accounts Receivable</t>
  </si>
  <si>
    <t>Inventory</t>
  </si>
  <si>
    <t>Prepaid Expenses</t>
  </si>
  <si>
    <t>Accounts Payable</t>
  </si>
  <si>
    <t>Accrued Payroll</t>
  </si>
  <si>
    <t>Other Accrued Expenses</t>
  </si>
  <si>
    <t>Income Tax Payable</t>
  </si>
  <si>
    <t>Power BI Connection</t>
  </si>
  <si>
    <t>pbiazure://api.powerbi.com 7166fa81-c3df-42e3-80e1-a70c4997ce97 Model</t>
  </si>
  <si>
    <t>Purchase of PP&amp;E</t>
  </si>
  <si>
    <t>Cash Flow from Investing Activities</t>
  </si>
  <si>
    <t>Cash Flow from Financing Activities</t>
  </si>
  <si>
    <t>Debt Issuance</t>
  </si>
  <si>
    <t>Equity Contributions</t>
  </si>
  <si>
    <t>Debt Repayments</t>
  </si>
  <si>
    <t>Dividends Paid</t>
  </si>
  <si>
    <t>Net Change in Cash</t>
  </si>
  <si>
    <t>Beginning Cash</t>
  </si>
  <si>
    <t>Ending Cash</t>
  </si>
  <si>
    <t>Balance Sheet Cash</t>
  </si>
  <si>
    <t>Cash Reconciliation Difference</t>
  </si>
  <si>
    <t>Northstar Distribution Group</t>
  </si>
  <si>
    <t>Consolidated Statement of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</si>
</sst>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###############;\(\$#,##0.###############\);\$#,##0.###############"/>
    <numFmt numFmtId="169" formatCode="&quot;$&quot;#,##0.00;\(&quot;$&quot;#,##0.00\);\-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pivotButton="1"/>
    <xf numFmtId="164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/>
    <xf numFmtId="0" fontId="16" fillId="0" borderId="0" xfId="0" applyFont="1" applyAlignment="1">
      <alignment horizontal="center" vertical="center" wrapText="1"/>
    </xf>
    <xf numFmtId="0" fontId="19" fillId="33" borderId="0" xfId="0" applyFont="1" applyFill="1" applyAlignment="1">
      <alignment horizontal="centerContinuous"/>
    </xf>
    <xf numFmtId="0" fontId="20" fillId="33" borderId="0" xfId="0" applyFont="1" applyFill="1" applyAlignment="1">
      <alignment horizontal="centerContinuous"/>
    </xf>
    <xf numFmtId="0" fontId="21" fillId="33" borderId="0" xfId="0" applyFont="1" applyFill="1" applyAlignment="1">
      <alignment horizontal="centerContinuous"/>
    </xf>
    <xf numFmtId="0" fontId="16" fillId="0" borderId="10" xfId="0" applyFont="1" applyBorder="1" applyAlignment="1">
      <alignment horizontal="center"/>
    </xf>
    <xf numFmtId="0" fontId="18" fillId="33" borderId="0" xfId="0" applyFont="1" applyFill="1"/>
    <xf numFmtId="0" fontId="0" fillId="0" borderId="0" xfId="0" applyAlignment="1">
      <alignment horizontal="left" indent="1"/>
    </xf>
    <xf numFmtId="0" fontId="0" fillId="0" borderId="0" xfId="0" applyBorder="1"/>
    <xf numFmtId="0" fontId="1" fillId="0" borderId="0" xfId="0" applyFont="1" applyBorder="1"/>
    <xf numFmtId="169" fontId="0" fillId="0" borderId="0" xfId="0" applyNumberFormat="1" applyAlignment="1">
      <alignment horizontal="right"/>
    </xf>
    <xf numFmtId="169" fontId="0" fillId="0" borderId="11" xfId="0" applyNumberFormat="1" applyBorder="1" applyAlignment="1">
      <alignment horizontal="right"/>
    </xf>
    <xf numFmtId="0" fontId="0" fillId="33" borderId="0" xfId="0" applyFill="1"/>
    <xf numFmtId="169" fontId="16" fillId="0" borderId="11" xfId="0" applyNumberFormat="1" applyFont="1" applyBorder="1" applyAlignment="1">
      <alignment horizontal="right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pbiazure://api.powerbi.com 7166fa81-c3df-42e3-80e1-a70c4997ce97 Model">
      <tp t="e">
        <v>#N/A</v>
        <stp>1</stp>
        <tr r="C31" s="4"/>
        <tr r="C16" s="4"/>
        <tr r="C16" s="4"/>
        <tr r="C15" s="4"/>
        <tr r="C15" s="4"/>
        <tr r="C14" s="4"/>
        <tr r="C14" s="4"/>
        <tr r="C13" s="4"/>
        <tr r="C13" s="4"/>
        <tr r="C12" s="4"/>
        <tr r="C12" s="4"/>
        <tr r="C11" s="4"/>
        <tr r="C11" s="4"/>
        <tr r="C10" s="4"/>
        <tr r="C10" s="4"/>
        <tr r="E27" s="4"/>
        <tr r="D27" s="4"/>
        <tr r="C27" s="4"/>
        <tr r="E26" s="4"/>
        <tr r="D26" s="4"/>
        <tr r="C26" s="4"/>
        <tr r="E25" s="4"/>
        <tr r="D25" s="4"/>
        <tr r="C25" s="4"/>
        <tr r="E24" s="4"/>
        <tr r="D24" s="4"/>
        <tr r="C24" s="4"/>
        <tr r="E20" s="4"/>
        <tr r="D20" s="4"/>
        <tr r="C20" s="4"/>
        <tr r="E34" s="4"/>
        <tr r="D34" s="4"/>
        <tr r="C34" s="4"/>
        <tr r="E16" s="4"/>
        <tr r="E16" s="4"/>
        <tr r="E15" s="4"/>
        <tr r="E15" s="4"/>
        <tr r="E14" s="4"/>
        <tr r="E14" s="4"/>
        <tr r="E13" s="4"/>
        <tr r="E13" s="4"/>
        <tr r="E12" s="4"/>
        <tr r="E12" s="4"/>
        <tr r="E11" s="4"/>
        <tr r="E11" s="4"/>
        <tr r="E10" s="4"/>
        <tr r="E10" s="4"/>
        <tr r="E8" s="4"/>
        <tr r="D16" s="4"/>
        <tr r="D16" s="4"/>
        <tr r="D15" s="4"/>
        <tr r="D15" s="4"/>
        <tr r="D14" s="4"/>
        <tr r="D14" s="4"/>
        <tr r="D13" s="4"/>
        <tr r="D13" s="4"/>
        <tr r="D12" s="4"/>
        <tr r="D12" s="4"/>
        <tr r="D11" s="4"/>
        <tr r="D11" s="4"/>
        <tr r="D10" s="4"/>
        <tr r="D10" s="4"/>
        <tr r="D8" s="4"/>
        <tr r="C8" s="4"/>
        <tr r="B3" s="3"/>
        <tr r="C3" s="3"/>
        <tr r="D3" s="3"/>
        <tr r="E3" s="3"/>
        <tr r="E7" s="4"/>
        <tr r="D7" s="4"/>
        <tr r="C7" s="4"/>
        <tr r="B2" s="3"/>
        <tr r="C2" s="3"/>
        <tr r="D2" s="3"/>
        <tr r="E2" s="3"/>
        <tr r="A3" s="3"/>
        <tr r="E4" s="4"/>
        <tr r="D4" s="4"/>
        <tr r="C4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OnLoad="1" refreshedBy="Christian Castillo" refreshedDate="46282.786789583333" backgroundQuery="1" createdVersion="3" refreshedVersion="8" minRefreshableVersion="3" recordCount="0" tupleCache="1" supportSubquery="1" supportAdvancedDrill="1" xr:uid="{C8AB2AF9-FBA9-436F-8D4B-B301C15C7DDC}">
  <cacheSource type="external" connectionId="1"/>
  <cacheFields count="5">
    <cacheField name="[DimDate].[Year].[Year]" caption="Year" numFmtId="0" hierarchy="14" level="1">
      <sharedItems count="3">
        <s v="[DimDate].[Year].&amp;[2023]" c="2023"/>
        <s v="[DimDate].[Year].&amp;[2024]" c="2024"/>
        <s v="[DimDate].[Year].&amp;[2025]" c="2025"/>
      </sharedItems>
    </cacheField>
    <cacheField name="[Measures].[MeasuresLevel]" caption="MeasuresLevel" numFmtId="0" hierarchy="29">
      <sharedItems count="3">
        <s v="[Measures].[Reporting Amount]" c="Reporting Amount"/>
        <s v="[Measures].[Net Income]" c="Net Income"/>
        <s v="[Measures].[Cumulative Balance]" c="Cumulative Balance"/>
      </sharedItems>
    </cacheField>
    <cacheField name="[DimGLAccount].[GLAccountName].[GLAccountName]" caption="GLAccountName" numFmtId="0" hierarchy="17" level="1">
      <sharedItems count="8">
        <s v="[DimGLAccount].[GLAccountName].&amp;[Cash and Cash Equivalents]" c="Cash and Cash Equivalents"/>
        <s v="[DimGLAccount].[GLAccountName].&amp;[Accounts Receivable]" c="Accounts Receivable"/>
        <s v="[DimGLAccount].[GLAccountName].&amp;[Inventory]" c="Inventory"/>
        <s v="[DimGLAccount].[GLAccountName].&amp;[Prepaid Expenses]" c="Prepaid Expenses"/>
        <s v="[DimGLAccount].[GLAccountName].&amp;[Accounts Payable]" c="Accounts Payable"/>
        <s v="[DimGLAccount].[GLAccountName].&amp;[Accrued Payroll]" c="Accrued Payroll"/>
        <s v="[DimGLAccount].[GLAccountName].&amp;[Other Accrued Expenses]" c="Other Accrued Expenses"/>
        <s v="[DimGLAccount].[GLAccountName].&amp;[Income Tax Payable]" c="Income Tax Payable"/>
      </sharedItems>
    </cacheField>
    <cacheField name="[DimGLAccount].[Subcategory].[Subcategory]" caption="Subcategory" numFmtId="0" hierarchy="22" level="1">
      <sharedItems count="1">
        <s v="[DimGLAccount].[Subcategory].&amp;[Depreciation Expenses]" c="Depreciation Expenses"/>
      </sharedItems>
    </cacheField>
    <cacheField name="[DimJournal].[JournalType].[JournalType]" caption="JournalType" numFmtId="0" hierarchy="25" level="1">
      <sharedItems count="6">
        <s v="[DimJournal].[JournalType].&amp;[Asset Purchase]" c="Asset Purchase"/>
        <s v="[DimJournal].[JournalType].&amp;[Debt Financing]" c="Debt Financing"/>
        <s v="[DimJournal].[JournalType].&amp;[Equity Contribution]" c="Equity Contribution"/>
        <s v="[DimJournal].[JournalType].&amp;[Debt Payment]" c="Debt Payment"/>
        <s v="[DimJournal].[JournalType].&amp;[Dividend]" c="Dividend"/>
        <s v="[DimJournal].[JournalType].&amp;[Opening Balance]" c="Opening Balance"/>
      </sharedItems>
    </cacheField>
  </cacheFields>
  <cacheHierarchies count="120">
    <cacheHierarchy uniqueName="[DimBusinessUnit].[BusinessUnitCode]" caption="BusinessUnitCode" attribute="1" defaultMemberUniqueName="[DimBusinessUnit].[BusinessUnitCode].[All]" allUniqueName="[DimBusinessUnit].[BusinessUnitCode].[All]" dimensionUniqueName="[DimBusinessUnit]" displayFolder="" count="2" unbalanced="0"/>
    <cacheHierarchy uniqueName="[DimBusinessUnit].[BusinessUnitName]" caption="BusinessUnitName" attribute="1" defaultMemberUniqueName="[DimBusinessUnit].[BusinessUnitName].[All]" allUniqueName="[DimBusinessUnit].[BusinessUnitName].[All]" dimensionUniqueName="[DimBusinessUnit]" displayFolder="" count="2" unbalanced="0"/>
    <cacheHierarchy uniqueName="[DimBusinessUnit].[BusinessUnitType]" caption="BusinessUnitType" attribute="1" defaultMemberUniqueName="[DimBusinessUnit].[BusinessUnitType].[All]" allUniqueName="[DimBusinessUnit].[BusinessUnitType].[All]" dimensionUniqueName="[DimBusinessUnit]" displayFolder="" count="2" unbalanced="0"/>
    <cacheHierarchy uniqueName="[DimBusinessUnit].[City]" caption="City" attribute="1" defaultMemberUniqueName="[DimBusinessUnit].[City].[All]" allUniqueName="[DimBusinessUnit].[City].[All]" dimensionUniqueName="[DimBusinessUnit]" displayFolder="" count="2" unbalanced="0"/>
    <cacheHierarchy uniqueName="[DimDate].[Date]" caption="Date" attribute="1" time="1" keyAttribute="1" defaultMemberUniqueName="[DimDate].[Date].[All]" allUniqueName="[DimDate].[Date].[All]" dimensionUniqueName="[DimDate]" displayFolder="" count="2" memberValueDatatype="7" unbalanced="0"/>
    <cacheHierarchy uniqueName="[DimDate].[DayName]" caption="DayName" attribute="1" time="1" defaultMemberUniqueName="[DimDate].[DayName].[All]" allUniqueName="[DimDate].[DayName].[All]" dimensionUniqueName="[DimDate]" displayFolder="" count="2" unbalanced="0"/>
    <cacheHierarchy uniqueName="[DimDate].[DayOfMonth]" caption="DayOfMonth" attribute="1" time="1" defaultMemberUniqueName="[DimDate].[DayOfMonth].[All]" allUniqueName="[DimDate].[DayOfMonth].[All]" dimensionUniqueName="[DimDate]" displayFolder="" count="2" unbalanced="0"/>
    <cacheHierarchy uniqueName="[DimDate].[MonthEnd]" caption="MonthEnd" attribute="1" time="1" defaultMemberUniqueName="[DimDate].[MonthEnd].[All]" allUniqueName="[DimDate].[MonthEnd].[All]" dimensionUniqueName="[DimDate]" displayFolder="" count="2" unbalanced="0"/>
    <cacheHierarchy uniqueName="[DimDate].[MonthName]" caption="MonthName" attribute="1" time="1" defaultMemberUniqueName="[DimDate].[MonthName].[All]" allUniqueName="[DimDate].[MonthName].[All]" dimensionUniqueName="[DimDate]" displayFolder="" count="2" unbalanced="0"/>
    <cacheHierarchy uniqueName="[DimDate].[MonthShort]" caption="MonthShort" attribute="1" time="1" defaultMemberUniqueName="[DimDate].[MonthShort].[All]" allUniqueName="[DimDate].[MonthShort].[All]" dimensionUniqueName="[DimDate]" displayFolder="" count="2" unbalanced="0"/>
    <cacheHierarchy uniqueName="[DimDate].[MonthStart]" caption="MonthStart" attribute="1" time="1" defaultMemberUniqueName="[DimDate].[MonthStart].[All]" allUniqueName="[DimDate].[MonthStart].[All]" dimensionUniqueName="[DimDate]" displayFolder="" count="2" unbalanced="0"/>
    <cacheHierarchy uniqueName="[DimDate].[Quarter]" caption="Quarter" attribute="1" time="1" defaultMemberUniqueName="[DimDate].[Quarter].[All]" allUniqueName="[DimDate].[Quarter].[All]" dimensionUniqueName="[DimDate]" displayFolder="" count="2" unbalanced="0"/>
    <cacheHierarchy uniqueName="[DimDate].[QuarterID]" caption="QuarterID" attribute="1" time="1" defaultMemberUniqueName="[DimDate].[QuarterID].[All]" allUniqueName="[DimDate].[QuarterID].[All]" dimensionUniqueName="[DimDate]" displayFolder="" count="2" unbalanced="0"/>
    <cacheHierarchy uniqueName="[DimDate].[WeekOfYear]" caption="WeekOfYear" attribute="1" time="1" defaultMemberUniqueName="[DimDate].[WeekOfYear].[All]" allUniqueName="[DimDate].[WeekOfYear].[All]" dimensionUniqueName="[DimDate]" displayFolder="" count="2" unbalanced="0"/>
    <cacheHierarchy uniqueName="[DimDate].[Year]" caption="Year" attribute="1" time="1" defaultMemberUniqueName="[DimDate].[Year].[All]" allUniqueName="[DimDate].[Year].[All]" allCaption="All" dimensionUniqueName="[DimDate]" displayFolder="" count="2" unbalanced="0">
      <fieldsUsage count="2">
        <fieldUsage x="-1"/>
        <fieldUsage x="0"/>
      </fieldsUsage>
    </cacheHierarchy>
    <cacheHierarchy uniqueName="[DimDate].[YearMonth]" caption="YearMonth" attribute="1" time="1" defaultMemberUniqueName="[DimDate].[YearMonth].[All]" allUniqueName="[DimDate].[YearMonth].[All]" dimensionUniqueName="[DimDate]" displayFolder="" count="2" unbalanced="0"/>
    <cacheHierarchy uniqueName="[DimGLAccount].[Category]" caption="Category" attribute="1" defaultMemberUniqueName="[DimGLAccount].[Category].[All]" allUniqueName="[DimGLAccount].[Category].[All]" dimensionUniqueName="[DimGLAccount]" displayFolder="" count="2" unbalanced="0"/>
    <cacheHierarchy uniqueName="[DimGLAccount].[GLAccountName]" caption="GLAccountName" attribute="1" defaultMemberUniqueName="[DimGLAccount].[GLAccountName].[All]" allUniqueName="[DimGLAccount].[GLAccountName].[All]" dimensionUniqueName="[DimGLAccount]" displayFolder="" count="2" unbalanced="0">
      <fieldsUsage count="2">
        <fieldUsage x="-1"/>
        <fieldUsage x="2"/>
      </fieldsUsage>
    </cacheHierarchy>
    <cacheHierarchy uniqueName="[DimGLAccount].[GLAccountNumber]" caption="GLAccountNumber" attribute="1" defaultMemberUniqueName="[DimGLAccount].[GLAccountNumber].[All]" allUniqueName="[DimGLAccount].[GLAccountNumber].[All]" dimensionUniqueName="[DimGLAccount]" displayFolder="" count="2" unbalanced="0"/>
    <cacheHierarchy uniqueName="[DimGLAccount].[NormalBalance]" caption="NormalBalance" attribute="1" defaultMemberUniqueName="[DimGLAccount].[NormalBalance].[All]" allUniqueName="[DimGLAccount].[NormalBalance].[All]" dimensionUniqueName="[DimGLAccount]" displayFolder="" count="2" unbalanced="0"/>
    <cacheHierarchy uniqueName="[DimGLAccount].[ReportingSign]" caption="ReportingSign" attribute="1" defaultMemberUniqueName="[DimGLAccount].[ReportingSign].[All]" allUniqueName="[DimGLAccount].[ReportingSign].[All]" dimensionUniqueName="[DimGLAccount]" displayFolder="" count="2" unbalanced="0"/>
    <cacheHierarchy uniqueName="[DimGLAccount].[Statement]" caption="Statement" attribute="1" defaultMemberUniqueName="[DimGLAccount].[Statement].[All]" allUniqueName="[DimGLAccount].[Statement].[All]" dimensionUniqueName="[DimGLAccount]" displayFolder="" count="2" unbalanced="0"/>
    <cacheHierarchy uniqueName="[DimGLAccount].[Subcategory]" caption="Subcategory" attribute="1" defaultMemberUniqueName="[DimGLAccount].[Subcategory].[All]" allUniqueName="[DimGLAccount].[Subcategory].[All]" dimensionUniqueName="[DimGLAccount]" displayFolder="" count="2" unbalanced="0">
      <fieldsUsage count="2">
        <fieldUsage x="-1"/>
        <fieldUsage x="3"/>
      </fieldsUsage>
    </cacheHierarchy>
    <cacheHierarchy uniqueName="[DimJournal].[JournalDescription]" caption="JournalDescription" attribute="1" defaultMemberUniqueName="[DimJournal].[JournalDescription].[All]" allUniqueName="[DimJournal].[JournalDescription].[All]" dimensionUniqueName="[DimJournal]" displayFolder="" count="2" unbalanced="0"/>
    <cacheHierarchy uniqueName="[DimJournal].[JournalNumber]" caption="JournalNumber" attribute="1" defaultMemberUniqueName="[DimJournal].[JournalNumber].[All]" allUniqueName="[DimJournal].[JournalNumber].[All]" dimensionUniqueName="[DimJournal]" displayFolder="" count="2" unbalanced="0"/>
    <cacheHierarchy uniqueName="[DimJournal].[JournalType]" caption="JournalType" attribute="1" defaultMemberUniqueName="[DimJournal].[JournalType].[All]" allUniqueName="[DimJournal].[JournalType].[All]" dimensionUniqueName="[DimJournal]" displayFolder="" count="2" unbalanced="0">
      <fieldsUsage count="2">
        <fieldUsage x="-1"/>
        <fieldUsage x="4"/>
      </fieldsUsage>
    </cacheHierarchy>
    <cacheHierarchy uniqueName="[DimRegion].[RegionCode]" caption="RegionCode" attribute="1" defaultMemberUniqueName="[DimRegion].[RegionCode].[All]" allUniqueName="[DimRegion].[RegionCode].[All]" dimensionUniqueName="[DimRegion]" displayFolder="" count="2" unbalanced="0"/>
    <cacheHierarchy uniqueName="[DimRegion].[RegionName]" caption="RegionName" attribute="1" defaultMemberUniqueName="[DimRegion].[RegionName].[All]" allUniqueName="[DimRegion].[RegionName].[All]" dimensionUniqueName="[DimRegion]" displayFolder="" count="2" unbalanced="0"/>
    <cacheHierarchy uniqueName="[Fact_GLTransactions].[ProductCategory]" caption="ProductCategory" attribute="1" defaultMemberUniqueName="[Fact_GLTransactions].[ProductCategory].[All]" allUniqueName="[Fact_GLTransactions].[ProductCategory].[All]" dimensionUniqueName="[Fact_GLTransactions]" displayFolder="" count="2" unbalanced="0"/>
    <cacheHierarchy uniqueName="[Measures]" caption="Measures" attribute="1" keyAttribute="1" defaultMemberUniqueName="[Measures].[__Default measure]" dimensionUniqueName="[Measures]" displayFolder="" measures="1" count="1" unbalanced="0">
      <fieldsUsage count="1">
        <fieldUsage x="1"/>
      </fieldsUsage>
    </cacheHierarchy>
    <cacheHierarchy uniqueName="[RefreshInfo].[LastRefreshDate]" caption="LastRefreshDate" attribute="1" defaultMemberUniqueName="[RefreshInfo].[LastRefreshDate].[All]" allUniqueName="[RefreshInfo].[LastRefreshDate].[All]" dimensionUniqueName="[RefreshInfo]" displayFolder="" count="2" unbalanced="0"/>
    <cacheHierarchy uniqueName="[RefreshInfo].[SourceSystem]" caption="SourceSystem" attribute="1" defaultMemberUniqueName="[RefreshInfo].[SourceSystem].[All]" allUniqueName="[RefreshInfo].[SourceSystem].[All]" dimensionUniqueName="[RefreshInfo]" displayFolder="" count="2" unbalanced="0"/>
    <cacheHierarchy uniqueName="[StatementHeaders].[Balance Sheet Section]" caption="Balance Sheet Section" attribute="1" defaultMemberUniqueName="[StatementHeaders].[Balance Sheet Section].[All]" allUniqueName="[StatementHeaders].[Balance Sheet Section].[All]" dimensionUniqueName="[StatementHeaders]" displayFolder="" count="2" unbalanced="0"/>
    <cacheHierarchy uniqueName="[StatementHeaders].[Category]" caption="Category" attribute="1" defaultMemberUniqueName="[StatementHeaders].[Category].[All]" allUniqueName="[StatementHeaders].[Category].[All]" dimensionUniqueName="[StatementHeaders]" displayFolder="" count="2" unbalanced="0"/>
    <cacheHierarchy uniqueName="[StatementHeaders].[DisplayFormat]" caption="DisplayFormat" attribute="1" defaultMemberUniqueName="[StatementHeaders].[DisplayFormat].[All]" allUniqueName="[StatementHeaders].[DisplayFormat].[All]" dimensionUniqueName="[StatementHeaders]" displayFolder="" count="2" unbalanced="0"/>
    <cacheHierarchy uniqueName="[StatementHeaders].[LineSortOrder]" caption="LineSortOrder" attribute="1" defaultMemberUniqueName="[StatementHeaders].[LineSortOrder].[All]" allUniqueName="[StatementHeaders].[LineSortOrder].[All]" dimensionUniqueName="[StatementHeaders]" displayFolder="" count="2" unbalanced="0"/>
    <cacheHierarchy uniqueName="[StatementHeaders].[MeasureName]" caption="MeasureName" attribute="1" defaultMemberUniqueName="[StatementHeaders].[MeasureName].[All]" allUniqueName="[StatementHeaders].[MeasureName].[All]" dimensionUniqueName="[StatementHeaders]" displayFolder="" count="2" unbalanced="0"/>
    <cacheHierarchy uniqueName="[StatementHeaders].[MeasureType]" caption="MeasureType" attribute="1" defaultMemberUniqueName="[StatementHeaders].[MeasureType].[All]" allUniqueName="[StatementHeaders].[MeasureType].[All]" dimensionUniqueName="[StatementHeaders]" displayFolder="" count="2" unbalanced="0"/>
    <cacheHierarchy uniqueName="[StatementHeaders].[Statement]" caption="Statement" attribute="1" defaultMemberUniqueName="[StatementHeaders].[Statement].[All]" allUniqueName="[StatementHeaders].[Statement].[All]" dimensionUniqueName="[StatementHeaders]" displayFolder="" count="2" unbalanced="0"/>
    <cacheHierarchy uniqueName="[StatementHeaders].[StatementSortOrder]" caption="StatementSortOrder" attribute="1" defaultMemberUniqueName="[StatementHeaders].[StatementSortOrder].[All]" allUniqueName="[StatementHeaders].[StatementSortOrder].[All]" dimensionUniqueName="[StatementHeaders]" displayFolder="" count="2" unbalanced="0"/>
    <cacheHierarchy uniqueName="[DateTableTemplate_8bf981c2-962a-48ae-a8c5-6af54267cfea].[Date]" caption="Date" attribute="1" defaultMemberUniqueName="[DateTableTemplate_8bf981c2-962a-48ae-a8c5-6af54267cfea].[Date].[All]" allUniqueName="[DateTableTemplate_8bf981c2-962a-48ae-a8c5-6af54267cfea].[Date].[All]" dimensionUniqueName="[DateTableTemplate_8bf981c2-962a-48ae-a8c5-6af54267cfea]" displayFolder="" count="2" unbalanced="0" hidden="1"/>
    <cacheHierarchy uniqueName="[DateTableTemplate_8bf981c2-962a-48ae-a8c5-6af54267cfea].[Date Hierarchy]" caption="Date Hierarchy" defaultMemberUniqueName="[DateTableTemplate_8bf981c2-962a-48ae-a8c5-6af54267cfea].[Date Hierarchy].[All]" allUniqueName="[DateTableTemplate_8bf981c2-962a-48ae-a8c5-6af54267cfea].[Date Hierarchy].[All]" dimensionUniqueName="[DateTableTemplate_8bf981c2-962a-48ae-a8c5-6af54267cfea]" displayFolder="" count="5" unbalanced="0" hidden="1"/>
    <cacheHierarchy uniqueName="[DateTableTemplate_8bf981c2-962a-48ae-a8c5-6af54267cfea].[Day]" caption="Day" attribute="1" defaultMemberUniqueName="[DateTableTemplate_8bf981c2-962a-48ae-a8c5-6af54267cfea].[Day].[All]" allUniqueName="[DateTableTemplate_8bf981c2-962a-48ae-a8c5-6af54267cfea].[Day].[All]" dimensionUniqueName="[DateTableTemplate_8bf981c2-962a-48ae-a8c5-6af54267cfea]" displayFolder="" count="2" unbalanced="0" hidden="1"/>
    <cacheHierarchy uniqueName="[DateTableTemplate_8bf981c2-962a-48ae-a8c5-6af54267cfea].[Month]" caption="Month" attribute="1" defaultMemberUniqueName="[DateTableTemplate_8bf981c2-962a-48ae-a8c5-6af54267cfea].[Month].[All]" allUniqueName="[DateTableTemplate_8bf981c2-962a-48ae-a8c5-6af54267cfea].[Month].[All]" dimensionUniqueName="[DateTableTemplate_8bf981c2-962a-48ae-a8c5-6af54267cfea]" displayFolder="" count="2" unbalanced="0" hidden="1"/>
    <cacheHierarchy uniqueName="[DateTableTemplate_8bf981c2-962a-48ae-a8c5-6af54267cfea].[MonthNo]" caption="MonthNo" attribute="1" defaultMemberUniqueName="[DateTableTemplate_8bf981c2-962a-48ae-a8c5-6af54267cfea].[MonthNo].[All]" allUniqueName="[DateTableTemplate_8bf981c2-962a-48ae-a8c5-6af54267cfea].[MonthNo].[All]" dimensionUniqueName="[DateTableTemplate_8bf981c2-962a-48ae-a8c5-6af54267cfea]" displayFolder="" count="2" unbalanced="0" hidden="1"/>
    <cacheHierarchy uniqueName="[DateTableTemplate_8bf981c2-962a-48ae-a8c5-6af54267cfea].[Quarter]" caption="Quarter" attribute="1" defaultMemberUniqueName="[DateTableTemplate_8bf981c2-962a-48ae-a8c5-6af54267cfea].[Quarter].[All]" allUniqueName="[DateTableTemplate_8bf981c2-962a-48ae-a8c5-6af54267cfea].[Quarter].[All]" dimensionUniqueName="[DateTableTemplate_8bf981c2-962a-48ae-a8c5-6af54267cfea]" displayFolder="" count="2" unbalanced="0" hidden="1"/>
    <cacheHierarchy uniqueName="[DateTableTemplate_8bf981c2-962a-48ae-a8c5-6af54267cfea].[QuarterNo]" caption="QuarterNo" attribute="1" defaultMemberUniqueName="[DateTableTemplate_8bf981c2-962a-48ae-a8c5-6af54267cfea].[QuarterNo].[All]" allUniqueName="[DateTableTemplate_8bf981c2-962a-48ae-a8c5-6af54267cfea].[QuarterNo].[All]" dimensionUniqueName="[DateTableTemplate_8bf981c2-962a-48ae-a8c5-6af54267cfea]" displayFolder="" count="2" unbalanced="0" hidden="1"/>
    <cacheHierarchy uniqueName="[DateTableTemplate_8bf981c2-962a-48ae-a8c5-6af54267cfea].[Year]" caption="Year" attribute="1" defaultMemberUniqueName="[DateTableTemplate_8bf981c2-962a-48ae-a8c5-6af54267cfea].[Year].[All]" allUniqueName="[DateTableTemplate_8bf981c2-962a-48ae-a8c5-6af54267cfea].[Year].[All]" dimensionUniqueName="[DateTableTemplate_8bf981c2-962a-48ae-a8c5-6af54267cfea]" displayFolder="" count="2" unbalanced="0" hidden="1"/>
    <cacheHierarchy uniqueName="[DimBusinessUnit].[BusinessUnitID]" caption="BusinessUnitID" attribute="1" defaultMemberUniqueName="[DimBusinessUnit].[BusinessUnitID].[All]" allUniqueName="[DimBusinessUnit].[BusinessUnitID].[All]" dimensionUniqueName="[DimBusinessUnit]" displayFolder="" count="2" unbalanced="0" hidden="1"/>
    <cacheHierarchy uniqueName="[DimBusinessUnit].[RegionID]" caption="RegionID" attribute="1" defaultMemberUniqueName="[DimBusinessUnit].[RegionID].[All]" allUniqueName="[DimBusinessUnit].[RegionID].[All]" dimensionUniqueName="[DimBusinessUnit]" displayFolder="" count="2" unbalanced="0" hidden="1"/>
    <cacheHierarchy uniqueName="[DimDate].[DayOfWeekNumber]" caption="DayOfWeekNumber" attribute="1" time="1" defaultMemberUniqueName="[DimDate].[DayOfWeekNumber].[All]" allUniqueName="[DimDate].[DayOfWeekNumber].[All]" dimensionUniqueName="[DimDate]" displayFolder="" count="2" unbalanced="0" hidden="1"/>
    <cacheHierarchy uniqueName="[DimDate].[MonthID]" caption="MonthID" attribute="1" time="1" defaultMemberUniqueName="[DimDate].[MonthID].[All]" allUniqueName="[DimDate].[MonthID].[All]" dimensionUniqueName="[DimDate]" displayFolder="" count="2" unbalanced="0" hidden="1"/>
    <cacheHierarchy uniqueName="[DimDate].[MonthNumber]" caption="MonthNumber" attribute="1" time="1" defaultMemberUniqueName="[DimDate].[MonthNumber].[All]" allUniqueName="[DimDate].[MonthNumber].[All]" dimensionUniqueName="[DimDate]" displayFolder="" count="2" unbalanced="0" hidden="1"/>
    <cacheHierarchy uniqueName="[DimDate].[QuarterNumber]" caption="QuarterNumber" attribute="1" time="1" defaultMemberUniqueName="[DimDate].[QuarterNumber].[All]" allUniqueName="[DimDate].[QuarterNumber].[All]" dimensionUniqueName="[DimDate]" displayFolder="" count="2" unbalanced="0" hidden="1"/>
    <cacheHierarchy uniqueName="[DimDate].[QuarterSort]" caption="QuarterSort" attribute="1" time="1" defaultMemberUniqueName="[DimDate].[QuarterSort].[All]" allUniqueName="[DimDate].[QuarterSort].[All]" dimensionUniqueName="[DimDate]" displayFolder="" count="2" unbalanced="0" hidden="1"/>
    <cacheHierarchy uniqueName="[DimGLAccount].[GLAccountID]" caption="GLAccountID" attribute="1" defaultMemberUniqueName="[DimGLAccount].[GLAccountID].[All]" allUniqueName="[DimGLAccount].[GLAccountID].[All]" dimensionUniqueName="[DimGLAccount]" displayFolder="" count="2" unbalanced="0" hidden="1"/>
    <cacheHierarchy uniqueName="[DimJournal].[JournalID]" caption="JournalID" attribute="1" defaultMemberUniqueName="[DimJournal].[JournalID].[All]" allUniqueName="[DimJournal].[JournalID].[All]" dimensionUniqueName="[DimJournal]" displayFolder="" count="2" unbalanced="0" hidden="1"/>
    <cacheHierarchy uniqueName="[DimRegion].[RegionID]" caption="RegionID" attribute="1" defaultMemberUniqueName="[DimRegion].[RegionID].[All]" allUniqueName="[DimRegion].[RegionID].[All]" dimensionUniqueName="[DimRegion]" displayFolder="" count="2" unbalanced="0" hidden="1"/>
    <cacheHierarchy uniqueName="[Fact_GLTransactions].[BusinessUnitID]" caption="BusinessUnitID" attribute="1" defaultMemberUniqueName="[Fact_GLTransactions].[BusinessUnitID].[All]" allUniqueName="[Fact_GLTransactions].[BusinessUnitID].[All]" dimensionUniqueName="[Fact_GLTransactions]" displayFolder="" count="2" unbalanced="0" hidden="1"/>
    <cacheHierarchy uniqueName="[Fact_GLTransactions].[Credit]" caption="Credit" attribute="1" defaultMemberUniqueName="[Fact_GLTransactions].[Credit].[All]" allUniqueName="[Fact_GLTransactions].[Credit].[All]" dimensionUniqueName="[Fact_GLTransactions]" displayFolder="" count="2" unbalanced="0" hidden="1"/>
    <cacheHierarchy uniqueName="[Fact_GLTransactions].[Debit]" caption="Debit" attribute="1" defaultMemberUniqueName="[Fact_GLTransactions].[Debit].[All]" allUniqueName="[Fact_GLTransactions].[Debit].[All]" dimensionUniqueName="[Fact_GLTransactions]" displayFolder="" count="2" unbalanced="0" hidden="1"/>
    <cacheHierarchy uniqueName="[Fact_GLTransactions].[GLAccountID]" caption="GLAccountID" attribute="1" defaultMemberUniqueName="[Fact_GLTransactions].[GLAccountID].[All]" allUniqueName="[Fact_GLTransactions].[GLAccountID].[All]" dimensionUniqueName="[Fact_GLTransactions]" displayFolder="" count="2" unbalanced="0" hidden="1"/>
    <cacheHierarchy uniqueName="[Fact_GLTransactions].[GLAmount]" caption="GLAmount" attribute="1" defaultMemberUniqueName="[Fact_GLTransactions].[GLAmount].[All]" allUniqueName="[Fact_GLTransactions].[GLAmount].[All]" dimensionUniqueName="[Fact_GLTransactions]" displayFolder="" count="2" unbalanced="0" hidden="1"/>
    <cacheHierarchy uniqueName="[Fact_GLTransactions].[JournalID]" caption="JournalID" attribute="1" defaultMemberUniqueName="[Fact_GLTransactions].[JournalID].[All]" allUniqueName="[Fact_GLTransactions].[JournalID].[All]" dimensionUniqueName="[Fact_GLTransactions]" displayFolder="" count="2" unbalanced="0" hidden="1"/>
    <cacheHierarchy uniqueName="[Fact_GLTransactions].[PostingDate]" caption="PostingDate" attribute="1" defaultMemberUniqueName="[Fact_GLTransactions].[PostingDate].[All]" allUniqueName="[Fact_GLTransactions].[PostingDate].[All]" dimensionUniqueName="[Fact_GLTransactions]" displayFolder="" count="2" unbalanced="0" hidden="1"/>
    <cacheHierarchy uniqueName="[Fact_GLTransactions].[ReportingAmount]" caption="ReportingAmount" attribute="1" defaultMemberUniqueName="[Fact_GLTransactions].[ReportingAmount].[All]" allUniqueName="[Fact_GLTransactions].[ReportingAmount].[All]" dimensionUniqueName="[Fact_GLTransactions]" displayFolder="" count="2" unbalanced="0" hidden="1"/>
    <cacheHierarchy uniqueName="[Fact_GLTransactions].[TransactionLineID]" caption="TransactionLineID" attribute="1" defaultMemberUniqueName="[Fact_GLTransactions].[TransactionLineID].[All]" allUniqueName="[Fact_GLTransactions].[TransactionLineID].[All]" dimensionUniqueName="[Fact_GLTransactions]" displayFolder="" count="2" unbalanced="0" hidden="1"/>
    <cacheHierarchy uniqueName="[LocalDateTable_6a2b6deb-0efb-4e00-bec8-c961062bd653].[Date]" caption="Date" attribute="1" defaultMemberUniqueName="[LocalDateTable_6a2b6deb-0efb-4e00-bec8-c961062bd653].[Date].[All]" allUniqueName="[LocalDateTable_6a2b6deb-0efb-4e00-bec8-c961062bd653].[Date].[All]" dimensionUniqueName="[LocalDateTable_6a2b6deb-0efb-4e00-bec8-c961062bd653]" displayFolder="" count="2" unbalanced="0" hidden="1"/>
    <cacheHierarchy uniqueName="[LocalDateTable_6a2b6deb-0efb-4e00-bec8-c961062bd653].[Date Hierarchy]" caption="Date Hierarchy" defaultMemberUniqueName="[LocalDateTable_6a2b6deb-0efb-4e00-bec8-c961062bd653].[Date Hierarchy].[All]" allUniqueName="[LocalDateTable_6a2b6deb-0efb-4e00-bec8-c961062bd653].[Date Hierarchy].[All]" dimensionUniqueName="[LocalDateTable_6a2b6deb-0efb-4e00-bec8-c961062bd653]" displayFolder="" count="5" unbalanced="0" hidden="1"/>
    <cacheHierarchy uniqueName="[LocalDateTable_6a2b6deb-0efb-4e00-bec8-c961062bd653].[Day]" caption="Day" attribute="1" defaultMemberUniqueName="[LocalDateTable_6a2b6deb-0efb-4e00-bec8-c961062bd653].[Day].[All]" allUniqueName="[LocalDateTable_6a2b6deb-0efb-4e00-bec8-c961062bd653].[Day].[All]" dimensionUniqueName="[LocalDateTable_6a2b6deb-0efb-4e00-bec8-c961062bd653]" displayFolder="" count="2" unbalanced="0" hidden="1"/>
    <cacheHierarchy uniqueName="[LocalDateTable_6a2b6deb-0efb-4e00-bec8-c961062bd653].[Month]" caption="Month" attribute="1" defaultMemberUniqueName="[LocalDateTable_6a2b6deb-0efb-4e00-bec8-c961062bd653].[Month].[All]" allUniqueName="[LocalDateTable_6a2b6deb-0efb-4e00-bec8-c961062bd653].[Month].[All]" dimensionUniqueName="[LocalDateTable_6a2b6deb-0efb-4e00-bec8-c961062bd653]" displayFolder="" count="2" unbalanced="0" hidden="1"/>
    <cacheHierarchy uniqueName="[LocalDateTable_6a2b6deb-0efb-4e00-bec8-c961062bd653].[MonthNo]" caption="MonthNo" attribute="1" defaultMemberUniqueName="[LocalDateTable_6a2b6deb-0efb-4e00-bec8-c961062bd653].[MonthNo].[All]" allUniqueName="[LocalDateTable_6a2b6deb-0efb-4e00-bec8-c961062bd653].[MonthNo].[All]" dimensionUniqueName="[LocalDateTable_6a2b6deb-0efb-4e00-bec8-c961062bd653]" displayFolder="" count="2" unbalanced="0" hidden="1"/>
    <cacheHierarchy uniqueName="[LocalDateTable_6a2b6deb-0efb-4e00-bec8-c961062bd653].[Quarter]" caption="Quarter" attribute="1" defaultMemberUniqueName="[LocalDateTable_6a2b6deb-0efb-4e00-bec8-c961062bd653].[Quarter].[All]" allUniqueName="[LocalDateTable_6a2b6deb-0efb-4e00-bec8-c961062bd653].[Quarter].[All]" dimensionUniqueName="[LocalDateTable_6a2b6deb-0efb-4e00-bec8-c961062bd653]" displayFolder="" count="2" unbalanced="0" hidden="1"/>
    <cacheHierarchy uniqueName="[LocalDateTable_6a2b6deb-0efb-4e00-bec8-c961062bd653].[QuarterNo]" caption="QuarterNo" attribute="1" defaultMemberUniqueName="[LocalDateTable_6a2b6deb-0efb-4e00-bec8-c961062bd653].[QuarterNo].[All]" allUniqueName="[LocalDateTable_6a2b6deb-0efb-4e00-bec8-c961062bd653].[QuarterNo].[All]" dimensionUniqueName="[LocalDateTable_6a2b6deb-0efb-4e00-bec8-c961062bd653]" displayFolder="" count="2" unbalanced="0" hidden="1"/>
    <cacheHierarchy uniqueName="[LocalDateTable_6a2b6deb-0efb-4e00-bec8-c961062bd653].[Year]" caption="Year" attribute="1" defaultMemberUniqueName="[LocalDateTable_6a2b6deb-0efb-4e00-bec8-c961062bd653].[Year].[All]" allUniqueName="[LocalDateTable_6a2b6deb-0efb-4e00-bec8-c961062bd653].[Year].[All]" dimensionUniqueName="[LocalDateTable_6a2b6deb-0efb-4e00-bec8-c961062bd653]" displayFolder="" count="2" unbalanced="0" hidden="1"/>
    <cacheHierarchy uniqueName="[Measures_].[Column]" caption="Column" attribute="1" defaultMemberUniqueName="[Measures_].[Column].[All]" allUniqueName="[Measures_].[Column].[All]" dimensionUniqueName="[Measures_]" displayFolder="" count="2" unbalanced="0" hidden="1"/>
    <cacheHierarchy uniqueName="[Measures].[GL_Amount]" caption="GL_Amount" measure="1" displayFolder="" measureGroup="Measures_" count="0"/>
    <cacheHierarchy uniqueName="[Measures].[Total Debit]" caption="Total Debit" measure="1" displayFolder="" measureGroup="Measures_" count="0"/>
    <cacheHierarchy uniqueName="[Measures].[Total Credit]" caption="Total Credit" measure="1" displayFolder="" measureGroup="Measures_" count="0"/>
    <cacheHierarchy uniqueName="[Measures].[Reporting Amount]" caption="Reporting Amount" measure="1" displayFolder="" measureGroup="Measures_" count="0"/>
    <cacheHierarchy uniqueName="[Measures].[Debit Credit Check]" caption="Debit Credit Check" measure="1" displayFolder="" measureGroup="Measures_" count="0"/>
    <cacheHierarchy uniqueName="[Measures].[Transaction Lines]" caption="Transaction Lines" measure="1" displayFolder="" measureGroup="Measures_" count="0"/>
    <cacheHierarchy uniqueName="[Measures].[Journal Count]" caption="Journal Count" measure="1" displayFolder="" measureGroup="Measures_" count="0"/>
    <cacheHierarchy uniqueName="[Measures].[Revenue]" caption="Revenue" measure="1" displayFolder="" measureGroup="Measures_" count="0"/>
    <cacheHierarchy uniqueName="[Measures].[Cost of Sales]" caption="Cost of Sales" measure="1" displayFolder="" measureGroup="Measures_" count="0"/>
    <cacheHierarchy uniqueName="[Measures].[Operating Expenses]" caption="Operating Expenses" measure="1" displayFolder="" measureGroup="Measures_" count="0"/>
    <cacheHierarchy uniqueName="[Measures].[Interest Expenses]" caption="Interest Expenses" measure="1" displayFolder="" measureGroup="Measures_" count="0"/>
    <cacheHierarchy uniqueName="[Measures].[Income Tax Expenses]" caption="Income Tax Expenses" measure="1" displayFolder="" measureGroup="Measures_" count="0"/>
    <cacheHierarchy uniqueName="[Measures].[Gross Profit]" caption="Gross Profit" measure="1" displayFolder="" measureGroup="Measures_" count="0"/>
    <cacheHierarchy uniqueName="[Measures].[Gross Profit %]" caption="Gross Profit %" measure="1" displayFolder="" measureGroup="Measures_" count="0"/>
    <cacheHierarchy uniqueName="[Measures].[EBIT]" caption="EBIT" measure="1" displayFolder="" measureGroup="Measures_" count="0"/>
    <cacheHierarchy uniqueName="[Measures].[EBIT %]" caption="EBIT %" measure="1" displayFolder="" measureGroup="Measures_" count="0"/>
    <cacheHierarchy uniqueName="[Measures].[EBT]" caption="EBT" measure="1" displayFolder="" measureGroup="Measures_" count="0"/>
    <cacheHierarchy uniqueName="[Measures].[Net Income]" caption="Net Income" measure="1" displayFolder="" measureGroup="Measures_" count="0"/>
    <cacheHierarchy uniqueName="[Measures].[Net Income %]" caption="Net Income %" measure="1" displayFolder="" measureGroup="Measures_" count="0"/>
    <cacheHierarchy uniqueName="[Measures].[Current Amount]" caption="Current Amount" measure="1" displayFolder="" measureGroup="Measures_" count="0"/>
    <cacheHierarchy uniqueName="[Measures].[Income Statement Subtotal]" caption="Income Statement Subtotal" measure="1" displayFolder="" measureGroup="Measures_" count="0"/>
    <cacheHierarchy uniqueName="[Measures].[Income Statement Percentage]" caption="Income Statement Percentage" measure="1" displayFolder="" measureGroup="Measures_" count="0"/>
    <cacheHierarchy uniqueName="[Measures].[Income Statement Value]" caption="Income Statement Value" measure="1" displayFolder="" measureGroup="Measures_" count="0"/>
    <cacheHierarchy uniqueName="[Measures].[Last Refresh]" caption="Last Refresh" measure="1" displayFolder="" measureGroup="Measures_" count="0"/>
    <cacheHierarchy uniqueName="[Measures].[Income Statement Waterfall]" caption="Income Statement Waterfall" measure="1" displayFolder="" measureGroup="Measures_" count="0"/>
    <cacheHierarchy uniqueName="[Measures].[Cumulative Balance]" caption="Cumulative Balance" measure="1" displayFolder="" measureGroup="Measures_" count="0"/>
    <cacheHierarchy uniqueName="[Measures].[Retained Earnings]" caption="Retained Earnings" measure="1" displayFolder="" measureGroup="Measures_" count="0"/>
    <cacheHierarchy uniqueName="[Measures].[Total Assets]" caption="Total Assets" measure="1" displayFolder="" measureGroup="Measures_" count="0"/>
    <cacheHierarchy uniqueName="[Measures].[Total Liabilities]" caption="Total Liabilities" measure="1" displayFolder="" measureGroup="Measures_" count="0"/>
    <cacheHierarchy uniqueName="[Measures].[Equity Before Retained Earnings]" caption="Equity Before Retained Earnings" measure="1" displayFolder="" measureGroup="Measures_" count="0"/>
    <cacheHierarchy uniqueName="[Measures].[Total Equity]" caption="Total Equity" measure="1" displayFolder="" measureGroup="Measures_" count="0"/>
    <cacheHierarchy uniqueName="[Measures].[Total Liabilities &amp; Equity]" caption="Total Liabilities &amp; Equity" measure="1" displayFolder="" measureGroup="Measures_" count="0"/>
    <cacheHierarchy uniqueName="[Measures].[Balance Sheet Check]" caption="Balance Sheet Check" measure="1" displayFolder="" measureGroup="Measures_" count="0"/>
    <cacheHierarchy uniqueName="[Measures].[Balance Sheet Current Balance]" caption="Balance Sheet Current Balance" measure="1" displayFolder="" measureGroup="Measures_" count="0"/>
    <cacheHierarchy uniqueName="[Measures].[Balance Sheet Section Subtotal]" caption="Balance Sheet Section Subtotal" measure="1" displayFolder="" measureGroup="Measures_" count="0"/>
    <cacheHierarchy uniqueName="[Measures].[Balance Sheet Value]" caption="Balance Sheet Value" measure="1" displayFolder="" measureGroup="Measures_" count="0"/>
    <cacheHierarchy uniqueName="[Measures].[Current Assets Balance]" caption="Current Assets Balance" measure="1" displayFolder="" measureGroup="Measures_" count="0"/>
    <cacheHierarchy uniqueName="[Measures].[Current Liabilities Balance]" caption="Current Liabilities Balance" measure="1" displayFolder="" measureGroup="Measures_" count="0"/>
    <cacheHierarchy uniqueName="[Measures].[Current Ratio]" caption="Current Ratio" measure="1" displayFolder="" measureGroup="Measures_" count="0"/>
    <cacheHierarchy uniqueName="[Measures].[Working Capital]" caption="Working Capital" measure="1" displayFolder="" measureGroup="Measures_" count="0"/>
    <cacheHierarchy uniqueName="[Measures].[Debt Ratio]" caption="Debt Ratio" measure="1" displayFolder="" measureGroup="Measures_" count="0"/>
    <cacheHierarchy uniqueName="[Measures].[Unbalanced Journals]" caption="Unbalanced Journals" measure="1" displayFolder="" measureGroup="Measures_" count="0"/>
    <cacheHierarchy uniqueName="[Measures].[Validation Status]" caption="Validation Status" measure="1" displayFolder="" measureGroup="Measures_" count="0"/>
    <cacheHierarchy uniqueName="[Measures].[__Default measure]" caption="__Default measure" measure="1" displayFolder="" count="0" hidden="1"/>
  </cacheHierarchies>
  <kpis count="0"/>
  <tupleCache>
    <entries count="54">
      <n v="511475.76" in="0">
        <tpls c="2">
          <tpl fld="0" item="0"/>
          <tpl fld="1" item="1"/>
        </tpls>
      </n>
      <n v="620943.81000000006" in="0">
        <tpls c="2">
          <tpl fld="0" item="1"/>
          <tpl fld="1" item="1"/>
        </tpls>
      </n>
      <n v="703879.33" in="0">
        <tpls c="2">
          <tpl fld="0" item="2"/>
          <tpl fld="1" item="1"/>
        </tpls>
      </n>
      <n v="1836298.9" in="0">
        <tpls c="2">
          <tpl hier="14" item="4294967295"/>
          <tpl fld="1" item="1"/>
        </tpls>
      </n>
      <n v="246000">
        <tpls c="3">
          <tpl fld="0" item="0"/>
          <tpl fld="3" item="0"/>
          <tpl fld="1" item="0"/>
        </tpls>
      </n>
      <n v="433610.93" in="0">
        <tpls c="3">
          <tpl fld="0" item="0"/>
          <tpl fld="2" item="1"/>
          <tpl fld="1" item="2"/>
        </tpls>
      </n>
      <n v="509818.28" in="0">
        <tpls c="3">
          <tpl fld="0" item="0"/>
          <tpl fld="2" item="2"/>
          <tpl fld="1" item="2"/>
        </tpls>
      </n>
      <n v="52000.04" in="0">
        <tpls c="3">
          <tpl fld="0" item="0"/>
          <tpl fld="2" item="3"/>
          <tpl fld="1" item="2"/>
        </tpls>
      </n>
      <n v="364963.8" in="0">
        <tpls c="3">
          <tpl fld="0" item="0"/>
          <tpl fld="2" item="4"/>
          <tpl fld="1" item="2"/>
        </tpls>
      </n>
      <n v="77000" in="0">
        <tpls c="3">
          <tpl fld="0" item="0"/>
          <tpl fld="2" item="5"/>
          <tpl fld="1" item="2"/>
        </tpls>
      </n>
      <n v="50000" in="0">
        <tpls c="3">
          <tpl fld="0" item="0"/>
          <tpl fld="2" item="6"/>
          <tpl fld="1" item="2"/>
        </tpls>
      </n>
      <n v="98894.99" in="0">
        <tpls c="3">
          <tpl fld="0" item="0"/>
          <tpl fld="2" item="7"/>
          <tpl fld="1" item="2"/>
        </tpls>
      </n>
      <n v="257070">
        <tpls c="3">
          <tpl fld="0" item="1"/>
          <tpl fld="3" item="0"/>
          <tpl fld="1" item="0"/>
        </tpls>
      </n>
      <n v="698265.15" in="0">
        <tpls c="3">
          <tpl fld="0" item="1"/>
          <tpl fld="2" item="1"/>
          <tpl fld="1" item="2"/>
        </tpls>
      </n>
      <n v="590301.77" in="0">
        <tpls c="3">
          <tpl fld="0" item="1"/>
          <tpl fld="2" item="2"/>
          <tpl fld="1" item="2"/>
        </tpls>
      </n>
      <n v="52000.08" in="0">
        <tpls c="3">
          <tpl fld="0" item="1"/>
          <tpl fld="2" item="3"/>
          <tpl fld="1" item="2"/>
        </tpls>
      </n>
      <n v="496805.36" in="0">
        <tpls c="3">
          <tpl fld="0" item="1"/>
          <tpl fld="2" item="4"/>
          <tpl fld="1" item="2"/>
        </tpls>
      </n>
      <n v="77000" in="0">
        <tpls c="3">
          <tpl fld="0" item="1"/>
          <tpl fld="2" item="5"/>
          <tpl fld="1" item="2"/>
        </tpls>
      </n>
      <n v="50000" in="0">
        <tpls c="3">
          <tpl fld="0" item="1"/>
          <tpl fld="2" item="6"/>
          <tpl fld="1" item="2"/>
        </tpls>
      </n>
      <n v="133000.71" in="0">
        <tpls c="3">
          <tpl fld="0" item="1"/>
          <tpl fld="2" item="7"/>
          <tpl fld="1" item="2"/>
        </tpls>
      </n>
      <n v="269370">
        <tpls c="3">
          <tpl fld="0" item="2"/>
          <tpl fld="3" item="0"/>
          <tpl fld="1" item="0"/>
        </tpls>
      </n>
      <n v="983422.53" in="0">
        <tpls c="3">
          <tpl fld="0" item="2"/>
          <tpl fld="2" item="1"/>
          <tpl fld="1" item="2"/>
        </tpls>
      </n>
      <n v="693380.64" in="0">
        <tpls c="3">
          <tpl fld="0" item="2"/>
          <tpl fld="2" item="2"/>
          <tpl fld="1" item="2"/>
        </tpls>
      </n>
      <n v="52000.08" in="0">
        <tpls c="3">
          <tpl fld="0" item="2"/>
          <tpl fld="2" item="3"/>
          <tpl fld="1" item="2"/>
        </tpls>
      </n>
      <n v="626778.09" in="0">
        <tpls c="3">
          <tpl fld="0" item="2"/>
          <tpl fld="2" item="4"/>
          <tpl fld="1" item="2"/>
        </tpls>
      </n>
      <n v="77000" in="0">
        <tpls c="3">
          <tpl fld="0" item="2"/>
          <tpl fld="2" item="5"/>
          <tpl fld="1" item="2"/>
        </tpls>
      </n>
      <n v="50000" in="0">
        <tpls c="3">
          <tpl fld="0" item="2"/>
          <tpl fld="2" item="6"/>
          <tpl fld="1" item="2"/>
        </tpls>
      </n>
      <n v="160685.72" in="0">
        <tpls c="3">
          <tpl fld="0" item="2"/>
          <tpl fld="2" item="7"/>
          <tpl fld="1" item="2"/>
        </tpls>
      </n>
      <n v="892163.08" in="0">
        <tpls c="3">
          <tpl fld="0" item="0"/>
          <tpl fld="2" item="0"/>
          <tpl fld="1" item="2"/>
        </tpls>
      </n>
      <n v="1575228.26" in="0">
        <tpls c="3">
          <tpl fld="0" item="1"/>
          <tpl fld="2" item="0"/>
          <tpl fld="1" item="2"/>
        </tpls>
      </n>
      <n v="1874469.23" in="0">
        <tpls c="3">
          <tpl fld="0" item="2"/>
          <tpl fld="2" item="0"/>
          <tpl fld="1" item="2"/>
        </tpls>
      </n>
      <n v="-218742.22">
        <tpls c="4">
          <tpl fld="0" item="0"/>
          <tpl fld="2" item="0"/>
          <tpl fld="4" item="0"/>
          <tpl fld="1" item="0"/>
        </tpls>
      </n>
      <n v="-193758.16">
        <tpls c="4">
          <tpl fld="0" item="1"/>
          <tpl fld="2" item="0"/>
          <tpl fld="4" item="0"/>
          <tpl fld="1" item="0"/>
        </tpls>
      </n>
      <n v="-196429.85">
        <tpls c="4">
          <tpl fld="0" item="2"/>
          <tpl fld="2" item="0"/>
          <tpl fld="4" item="0"/>
          <tpl fld="1" item="0"/>
        </tpls>
      </n>
      <m>
        <tpls c="4">
          <tpl fld="0" item="0"/>
          <tpl fld="2" item="0"/>
          <tpl fld="4" item="1"/>
          <tpl fld="1" item="0"/>
        </tpls>
      </m>
      <n v="250000">
        <tpls c="4">
          <tpl fld="0" item="1"/>
          <tpl fld="2" item="0"/>
          <tpl fld="4" item="1"/>
          <tpl fld="1" item="0"/>
        </tpls>
      </n>
      <m>
        <tpls c="4">
          <tpl fld="0" item="2"/>
          <tpl fld="2" item="0"/>
          <tpl fld="4" item="1"/>
          <tpl fld="1" item="0"/>
        </tpls>
      </m>
      <m>
        <tpls c="4">
          <tpl fld="0" item="0"/>
          <tpl fld="2" item="0"/>
          <tpl fld="4" item="2"/>
          <tpl fld="1" item="0"/>
        </tpls>
      </m>
      <n v="150000">
        <tpls c="4">
          <tpl fld="0" item="1"/>
          <tpl fld="2" item="0"/>
          <tpl fld="4" item="2"/>
          <tpl fld="1" item="0"/>
        </tpls>
      </n>
      <m>
        <tpls c="4">
          <tpl fld="0" item="2"/>
          <tpl fld="2" item="0"/>
          <tpl fld="4" item="2"/>
          <tpl fld="1" item="0"/>
        </tpls>
      </m>
      <n v="-132000">
        <tpls c="4">
          <tpl fld="0" item="0"/>
          <tpl fld="2" item="0"/>
          <tpl fld="4" item="3"/>
          <tpl fld="1" item="0"/>
        </tpls>
      </n>
      <n v="-132000">
        <tpls c="4">
          <tpl fld="0" item="1"/>
          <tpl fld="2" item="0"/>
          <tpl fld="4" item="3"/>
          <tpl fld="1" item="0"/>
        </tpls>
      </n>
      <n v="-132000">
        <tpls c="4">
          <tpl fld="0" item="2"/>
          <tpl fld="2" item="0"/>
          <tpl fld="4" item="3"/>
          <tpl fld="1" item="0"/>
        </tpls>
      </n>
      <n v="-70000">
        <tpls c="4">
          <tpl fld="0" item="0"/>
          <tpl fld="2" item="0"/>
          <tpl fld="4" item="4"/>
          <tpl fld="1" item="0"/>
        </tpls>
      </n>
      <n v="-90000">
        <tpls c="4">
          <tpl fld="0" item="1"/>
          <tpl fld="2" item="0"/>
          <tpl fld="4" item="4"/>
          <tpl fld="1" item="0"/>
        </tpls>
      </n>
      <n v="-115000">
        <tpls c="4">
          <tpl fld="0" item="2"/>
          <tpl fld="2" item="0"/>
          <tpl fld="4" item="4"/>
          <tpl fld="1" item="0"/>
        </tpls>
      </n>
      <n v="190000">
        <tpls c="3">
          <tpl fld="2" item="1"/>
          <tpl fld="4" item="5"/>
          <tpl fld="1" item="0"/>
        </tpls>
      </n>
      <n v="420000">
        <tpls c="3">
          <tpl fld="2" item="2"/>
          <tpl fld="4" item="5"/>
          <tpl fld="1" item="0"/>
        </tpls>
      </n>
      <n v="52000">
        <tpls c="3">
          <tpl fld="2" item="3"/>
          <tpl fld="4" item="5"/>
          <tpl fld="1" item="0"/>
        </tpls>
      </n>
      <n v="250000">
        <tpls c="3">
          <tpl fld="2" item="4"/>
          <tpl fld="4" item="5"/>
          <tpl fld="1" item="0"/>
        </tpls>
      </n>
      <n v="77000">
        <tpls c="3">
          <tpl fld="2" item="5"/>
          <tpl fld="4" item="5"/>
          <tpl fld="1" item="0"/>
        </tpls>
      </n>
      <n v="50000">
        <tpls c="3">
          <tpl fld="2" item="6"/>
          <tpl fld="4" item="5"/>
          <tpl fld="1" item="0"/>
        </tpls>
      </n>
      <n v="25000">
        <tpls c="3">
          <tpl fld="2" item="7"/>
          <tpl fld="4" item="5"/>
          <tpl fld="1" item="0"/>
        </tpls>
      </n>
      <n v="700000">
        <tpls c="4">
          <tpl fld="0" item="0"/>
          <tpl fld="2" item="0"/>
          <tpl fld="4" item="5"/>
          <tpl fld="1" item="0"/>
        </tpls>
      </n>
    </entries>
    <queryCache count="22">
      <query mdx="[DimDate].[Year].&amp;[2023]">
        <tpls c="1">
          <tpl fld="0" item="0"/>
        </tpls>
      </query>
      <query mdx="[Measures].[Reporting Amount]">
        <tpls c="1">
          <tpl fld="1" item="0"/>
        </tpls>
      </query>
      <query mdx="[DimDate].[Year].&amp;[2024]">
        <tpls c="1">
          <tpl fld="0" item="1"/>
        </tpls>
      </query>
      <query mdx="[DimDate].[Year].&amp;[2025]">
        <tpls c="1">
          <tpl fld="0" item="2"/>
        </tpls>
      </query>
      <query mdx="[Measures].[Net Income]">
        <tpls c="1">
          <tpl fld="1" item="1"/>
        </tpls>
      </query>
      <query mdx="[Measures].[Cumulative Balance]">
        <tpls c="1">
          <tpl fld="1" item="2"/>
        </tpls>
      </query>
      <query mdx="[DimDate].[Year].[All]">
        <tpls c="1">
          <tpl hier="14" item="4294967295"/>
        </tpls>
      </query>
      <query mdx="[DimGLAccount].[GLAccountName].&amp;[Cash and Cash Equivalents]">
        <tpls c="1">
          <tpl fld="2" item="0"/>
        </tpls>
      </query>
      <query mdx="[DimGLAccount].[Subcategory].&amp;[Depreciation Expenses]">
        <tpls c="1">
          <tpl fld="3" item="0"/>
        </tpls>
      </query>
      <query mdx="[DimGLAccount].[GLAccountName].&amp;[Accounts Receivable]">
        <tpls c="1">
          <tpl fld="2" item="1"/>
        </tpls>
      </query>
      <query mdx="[DimGLAccount].[GLAccountName].&amp;[Inventory]">
        <tpls c="1">
          <tpl fld="2" item="2"/>
        </tpls>
      </query>
      <query mdx="[DimGLAccount].[GLAccountName].&amp;[Prepaid Expenses]">
        <tpls c="1">
          <tpl fld="2" item="3"/>
        </tpls>
      </query>
      <query mdx="[DimGLAccount].[GLAccountName].&amp;[Accounts Payable]">
        <tpls c="1">
          <tpl fld="2" item="4"/>
        </tpls>
      </query>
      <query mdx="[DimGLAccount].[GLAccountName].&amp;[Accrued Payroll]">
        <tpls c="1">
          <tpl fld="2" item="5"/>
        </tpls>
      </query>
      <query mdx="[DimGLAccount].[GLAccountName].&amp;[Other Accrued Expenses]">
        <tpls c="1">
          <tpl fld="2" item="6"/>
        </tpls>
      </query>
      <query mdx="[DimGLAccount].[GLAccountName].&amp;[Income Tax Payable]">
        <tpls c="1">
          <tpl fld="2" item="7"/>
        </tpls>
      </query>
      <query mdx="[DimJournal].[JournalType].&amp;[Asset Purchase]">
        <tpls c="1">
          <tpl fld="4" item="0"/>
        </tpls>
      </query>
      <query mdx="[DimJournal].[JournalType].&amp;[Debt Financing]">
        <tpls c="1">
          <tpl fld="4" item="1"/>
        </tpls>
      </query>
      <query mdx="[DimJournal].[JournalType].&amp;[Equity Contribution]">
        <tpls c="1">
          <tpl fld="4" item="2"/>
        </tpls>
      </query>
      <query mdx="[DimJournal].[JournalType].&amp;[Debt Payment]">
        <tpls c="1">
          <tpl fld="4" item="3"/>
        </tpls>
      </query>
      <query mdx="[DimJournal].[JournalType].&amp;[Dividend]">
        <tpls c="1">
          <tpl fld="4" item="4"/>
        </tpls>
      </query>
      <query mdx="[DimJournal].[JournalType].&amp;[Opening Balance]">
        <tpls c="1">
          <tpl fld="4" item="5"/>
        </tpls>
      </query>
    </queryCache>
    <serverFormats count="1">
      <serverFormat format="\$#,0.###############;(\$#,0.###############);\$#,0.###############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Christian Castillo" refreshedDate="46282.786883217595" backgroundQuery="1" createdVersion="6" refreshedVersion="8" minRefreshableVersion="3" recordCount="0" supportSubquery="1" supportAdvancedDrill="1" xr:uid="{00000000-000A-0000-FFFF-FFFF01000000}">
  <cacheSource type="external" connectionId="1"/>
  <cacheFields count="2">
    <cacheField name="[DimDate].[Year].[Year]" caption="Year" numFmtId="0" hierarchy="14" level="1">
      <sharedItems count="3">
        <s v="[DimDate].[Year].&amp;[2023]" c="2023"/>
        <s v="[DimDate].[Year].&amp;[2024]" c="2024"/>
        <s v="[DimDate].[Year].&amp;[2025]" c="2025"/>
      </sharedItems>
    </cacheField>
    <cacheField name="[Measures].[Net Income]" caption="Net Income" numFmtId="0" hierarchy="92" level="32767"/>
  </cacheFields>
  <cacheHierarchies count="119">
    <cacheHierarchy uniqueName="[DimBusinessUnit].[BusinessUnitCode]" caption="BusinessUnitCode" attribute="1" defaultMemberUniqueName="[DimBusinessUnit].[BusinessUnitCode].[All]" allUniqueName="[DimBusinessUnit].[BusinessUnitCode].[All]" dimensionUniqueName="[DimBusinessUnit]" displayFolder="" count="0" unbalanced="0"/>
    <cacheHierarchy uniqueName="[DimBusinessUnit].[BusinessUnitName]" caption="BusinessUnitName" attribute="1" defaultMemberUniqueName="[DimBusinessUnit].[BusinessUnitName].[All]" allUniqueName="[DimBusinessUnit].[BusinessUnitName].[All]" dimensionUniqueName="[DimBusinessUnit]" displayFolder="" count="0" unbalanced="0"/>
    <cacheHierarchy uniqueName="[DimBusinessUnit].[BusinessUnitType]" caption="BusinessUnitType" attribute="1" defaultMemberUniqueName="[DimBusinessUnit].[BusinessUnitType].[All]" allUniqueName="[DimBusinessUnit].[BusinessUnitType].[All]" dimensionUniqueName="[DimBusinessUnit]" displayFolder="" count="0" unbalanced="0"/>
    <cacheHierarchy uniqueName="[DimBusinessUnit].[City]" caption="City" attribute="1" defaultMemberUniqueName="[DimBusinessUnit].[City].[All]" allUniqueName="[DimBusinessUnit].[City].[All]" dimensionUniqueName="[DimBusinessUnit]" displayFolder="" count="0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DayName]" caption="DayName" attribute="1" time="1" defaultMemberUniqueName="[DimDate].[DayName].[All]" allUniqueName="[DimDate].[DayName].[All]" dimensionUniqueName="[DimDate]" displayFolder="" count="0" unbalanced="0"/>
    <cacheHierarchy uniqueName="[DimDate].[DayOfMonth]" caption="DayOfMonth" attribute="1" time="1" defaultMemberUniqueName="[DimDate].[DayOfMonth].[All]" allUniqueName="[DimDate].[DayOfMonth].[All]" dimensionUniqueName="[DimDate]" displayFolder="" count="0" unbalanced="0"/>
    <cacheHierarchy uniqueName="[DimDate].[MonthEnd]" caption="MonthEnd" attribute="1" time="1" defaultMemberUniqueName="[DimDate].[MonthEnd].[All]" allUniqueName="[DimDate].[MonthEnd].[All]" dimensionUniqueName="[DimDate]" displayFolder="" count="0" unbalanced="0"/>
    <cacheHierarchy uniqueName="[DimDate].[MonthName]" caption="MonthName" attribute="1" time="1" defaultMemberUniqueName="[DimDate].[MonthName].[All]" allUniqueName="[DimDate].[MonthName].[All]" dimensionUniqueName="[DimDate]" displayFolder="" count="0" unbalanced="0"/>
    <cacheHierarchy uniqueName="[DimDate].[MonthShort]" caption="MonthShort" attribute="1" time="1" defaultMemberUniqueName="[DimDate].[MonthShort].[All]" allUniqueName="[DimDate].[MonthShort].[All]" dimensionUniqueName="[DimDate]" displayFolder="" count="0" unbalanced="0"/>
    <cacheHierarchy uniqueName="[DimDate].[MonthStart]" caption="MonthStart" attribute="1" time="1" defaultMemberUniqueName="[DimDate].[MonthStart].[All]" allUniqueName="[DimDate].[MonthStart].[All]" dimensionUniqueName="[DimDate]" displayFolder="" count="0" unbalanced="0"/>
    <cacheHierarchy uniqueName="[DimDate].[Quarter]" caption="Quarter" attribute="1" time="1" defaultMemberUniqueName="[DimDate].[Quarter].[All]" allUniqueName="[DimDate].[Quarter].[All]" dimensionUniqueName="[DimDate]" displayFolder="" count="0" unbalanced="0"/>
    <cacheHierarchy uniqueName="[DimDate].[QuarterID]" caption="QuarterID" attribute="1" time="1" defaultMemberUniqueName="[DimDate].[QuarterID].[All]" allUniqueName="[DimDate].[QuarterID].[All]" dimensionUniqueName="[DimDate]" displayFolder="" count="0" unbalanced="0"/>
    <cacheHierarchy uniqueName="[DimDate].[WeekOfYear]" caption="WeekOfYear" attribute="1" time="1" defaultMemberUniqueName="[DimDate].[WeekOfYear].[All]" allUniqueName="[DimDate].[WeekOfYear].[All]" dimensionUniqueName="[DimDate]" displayFolder="" count="0" unbalanced="0"/>
    <cacheHierarchy uniqueName="[DimDate].[Year]" caption="Year" attribute="1" time="1" defaultMemberUniqueName="[DimDate].[Year].[All]" allUniqueName="[DimDate].[Year].[All]" dimensionUniqueName="[DimDate]" displayFolder="" count="2" unbalanced="0">
      <fieldsUsage count="2">
        <fieldUsage x="-1"/>
        <fieldUsage x="0"/>
      </fieldsUsage>
    </cacheHierarchy>
    <cacheHierarchy uniqueName="[DimDate].[YearMonth]" caption="YearMonth" attribute="1" time="1" defaultMemberUniqueName="[DimDate].[YearMonth].[All]" allUniqueName="[DimDate].[YearMonth].[All]" dimensionUniqueName="[DimDate]" displayFolder="" count="0" unbalanced="0"/>
    <cacheHierarchy uniqueName="[DimGLAccount].[Category]" caption="Category" attribute="1" defaultMemberUniqueName="[DimGLAccount].[Category].[All]" allUniqueName="[DimGLAccount].[Category].[All]" dimensionUniqueName="[DimGLAccount]" displayFolder="" count="0" unbalanced="0"/>
    <cacheHierarchy uniqueName="[DimGLAccount].[GLAccountName]" caption="GLAccountName" attribute="1" defaultMemberUniqueName="[DimGLAccount].[GLAccountName].[All]" allUniqueName="[DimGLAccount].[GLAccountName].[All]" dimensionUniqueName="[DimGLAccount]" displayFolder="" count="0" unbalanced="0"/>
    <cacheHierarchy uniqueName="[DimGLAccount].[GLAccountNumber]" caption="GLAccountNumber" attribute="1" defaultMemberUniqueName="[DimGLAccount].[GLAccountNumber].[All]" allUniqueName="[DimGLAccount].[GLAccountNumber].[All]" dimensionUniqueName="[DimGLAccount]" displayFolder="" count="0" unbalanced="0"/>
    <cacheHierarchy uniqueName="[DimGLAccount].[NormalBalance]" caption="NormalBalance" attribute="1" defaultMemberUniqueName="[DimGLAccount].[NormalBalance].[All]" allUniqueName="[DimGLAccount].[NormalBalance].[All]" dimensionUniqueName="[DimGLAccount]" displayFolder="" count="0" unbalanced="0"/>
    <cacheHierarchy uniqueName="[DimGLAccount].[ReportingSign]" caption="ReportingSign" attribute="1" defaultMemberUniqueName="[DimGLAccount].[ReportingSign].[All]" allUniqueName="[DimGLAccount].[ReportingSign].[All]" dimensionUniqueName="[DimGLAccount]" displayFolder="" count="0" unbalanced="0"/>
    <cacheHierarchy uniqueName="[DimGLAccount].[Statement]" caption="Statement" attribute="1" defaultMemberUniqueName="[DimGLAccount].[Statement].[All]" allUniqueName="[DimGLAccount].[Statement].[All]" dimensionUniqueName="[DimGLAccount]" displayFolder="" count="0" unbalanced="0"/>
    <cacheHierarchy uniqueName="[DimGLAccount].[Subcategory]" caption="Subcategory" attribute="1" defaultMemberUniqueName="[DimGLAccount].[Subcategory].[All]" allUniqueName="[DimGLAccount].[Subcategory].[All]" dimensionUniqueName="[DimGLAccount]" displayFolder="" count="0" unbalanced="0"/>
    <cacheHierarchy uniqueName="[DimJournal].[JournalDescription]" caption="JournalDescription" attribute="1" defaultMemberUniqueName="[DimJournal].[JournalDescription].[All]" allUniqueName="[DimJournal].[JournalDescription].[All]" dimensionUniqueName="[DimJournal]" displayFolder="" count="0" unbalanced="0"/>
    <cacheHierarchy uniqueName="[DimJournal].[JournalNumber]" caption="JournalNumber" attribute="1" defaultMemberUniqueName="[DimJournal].[JournalNumber].[All]" allUniqueName="[DimJournal].[JournalNumber].[All]" dimensionUniqueName="[DimJournal]" displayFolder="" count="0" unbalanced="0"/>
    <cacheHierarchy uniqueName="[DimJournal].[JournalType]" caption="JournalType" attribute="1" defaultMemberUniqueName="[DimJournal].[JournalType].[All]" allUniqueName="[DimJournal].[JournalType].[All]" dimensionUniqueName="[DimJournal]" displayFolder="" count="0" unbalanced="0"/>
    <cacheHierarchy uniqueName="[DimRegion].[RegionCode]" caption="RegionCode" attribute="1" defaultMemberUniqueName="[DimRegion].[RegionCode].[All]" allUniqueName="[DimRegion].[RegionCode].[All]" dimensionUniqueName="[DimRegion]" displayFolder="" count="0" unbalanced="0"/>
    <cacheHierarchy uniqueName="[DimRegion].[RegionName]" caption="RegionName" attribute="1" defaultMemberUniqueName="[DimRegion].[RegionName].[All]" allUniqueName="[DimRegion].[RegionName].[All]" dimensionUniqueName="[DimRegion]" displayFolder="" count="0" unbalanced="0"/>
    <cacheHierarchy uniqueName="[Fact_GLTransactions].[ProductCategory]" caption="ProductCategory" attribute="1" defaultMemberUniqueName="[Fact_GLTransactions].[ProductCategory].[All]" allUniqueName="[Fact_GLTransactions].[ProductCategory].[All]" dimensionUniqueName="[Fact_GLTransactions]" displayFolder="" count="0" unbalanced="0"/>
    <cacheHierarchy uniqueName="[RefreshInfo].[LastRefreshDate]" caption="LastRefreshDate" attribute="1" defaultMemberUniqueName="[RefreshInfo].[LastRefreshDate].[All]" allUniqueName="[RefreshInfo].[LastRefreshDate].[All]" dimensionUniqueName="[RefreshInfo]" displayFolder="" count="0" unbalanced="0"/>
    <cacheHierarchy uniqueName="[RefreshInfo].[SourceSystem]" caption="SourceSystem" attribute="1" defaultMemberUniqueName="[RefreshInfo].[SourceSystem].[All]" allUniqueName="[RefreshInfo].[SourceSystem].[All]" dimensionUniqueName="[RefreshInfo]" displayFolder="" count="0" unbalanced="0"/>
    <cacheHierarchy uniqueName="[StatementHeaders].[Balance Sheet Section]" caption="Balance Sheet Section" attribute="1" defaultMemberUniqueName="[StatementHeaders].[Balance Sheet Section].[All]" allUniqueName="[StatementHeaders].[Balance Sheet Section].[All]" dimensionUniqueName="[StatementHeaders]" displayFolder="" count="0" unbalanced="0"/>
    <cacheHierarchy uniqueName="[StatementHeaders].[Category]" caption="Category" attribute="1" defaultMemberUniqueName="[StatementHeaders].[Category].[All]" allUniqueName="[StatementHeaders].[Category].[All]" dimensionUniqueName="[StatementHeaders]" displayFolder="" count="0" unbalanced="0"/>
    <cacheHierarchy uniqueName="[StatementHeaders].[DisplayFormat]" caption="DisplayFormat" attribute="1" defaultMemberUniqueName="[StatementHeaders].[DisplayFormat].[All]" allUniqueName="[StatementHeaders].[DisplayFormat].[All]" dimensionUniqueName="[StatementHeaders]" displayFolder="" count="0" unbalanced="0"/>
    <cacheHierarchy uniqueName="[StatementHeaders].[LineSortOrder]" caption="LineSortOrder" attribute="1" defaultMemberUniqueName="[StatementHeaders].[LineSortOrder].[All]" allUniqueName="[StatementHeaders].[LineSortOrder].[All]" dimensionUniqueName="[StatementHeaders]" displayFolder="" count="0" unbalanced="0"/>
    <cacheHierarchy uniqueName="[StatementHeaders].[MeasureName]" caption="MeasureName" attribute="1" defaultMemberUniqueName="[StatementHeaders].[MeasureName].[All]" allUniqueName="[StatementHeaders].[MeasureName].[All]" dimensionUniqueName="[StatementHeaders]" displayFolder="" count="0" unbalanced="0"/>
    <cacheHierarchy uniqueName="[StatementHeaders].[MeasureType]" caption="MeasureType" attribute="1" defaultMemberUniqueName="[StatementHeaders].[MeasureType].[All]" allUniqueName="[StatementHeaders].[MeasureType].[All]" dimensionUniqueName="[StatementHeaders]" displayFolder="" count="0" unbalanced="0"/>
    <cacheHierarchy uniqueName="[StatementHeaders].[Statement]" caption="Statement" attribute="1" defaultMemberUniqueName="[StatementHeaders].[Statement].[All]" allUniqueName="[StatementHeaders].[Statement].[All]" dimensionUniqueName="[StatementHeaders]" displayFolder="" count="0" unbalanced="0"/>
    <cacheHierarchy uniqueName="[StatementHeaders].[StatementSortOrder]" caption="StatementSortOrder" attribute="1" defaultMemberUniqueName="[StatementHeaders].[StatementSortOrder].[All]" allUniqueName="[StatementHeaders].[StatementSortOrder].[All]" dimensionUniqueName="[StatementHeaders]" displayFolder="" count="0" unbalanced="0"/>
    <cacheHierarchy uniqueName="[DateTableTemplate_8bf981c2-962a-48ae-a8c5-6af54267cfea].[Date]" caption="Date" attribute="1" defaultMemberUniqueName="[DateTableTemplate_8bf981c2-962a-48ae-a8c5-6af54267cfea].[Date].[All]" allUniqueName="[DateTableTemplate_8bf981c2-962a-48ae-a8c5-6af54267cfea].[Date].[All]" dimensionUniqueName="[DateTableTemplate_8bf981c2-962a-48ae-a8c5-6af54267cfea]" displayFolder="" count="0" unbalanced="0" hidden="1"/>
    <cacheHierarchy uniqueName="[DateTableTemplate_8bf981c2-962a-48ae-a8c5-6af54267cfea].[Date Hierarchy]" caption="Date Hierarchy" defaultMemberUniqueName="[DateTableTemplate_8bf981c2-962a-48ae-a8c5-6af54267cfea].[Date Hierarchy].[All]" allUniqueName="[DateTableTemplate_8bf981c2-962a-48ae-a8c5-6af54267cfea].[Date Hierarchy].[All]" dimensionUniqueName="[DateTableTemplate_8bf981c2-962a-48ae-a8c5-6af54267cfea]" displayFolder="" count="0" unbalanced="0" hidden="1"/>
    <cacheHierarchy uniqueName="[DateTableTemplate_8bf981c2-962a-48ae-a8c5-6af54267cfea].[Day]" caption="Day" attribute="1" defaultMemberUniqueName="[DateTableTemplate_8bf981c2-962a-48ae-a8c5-6af54267cfea].[Day].[All]" allUniqueName="[DateTableTemplate_8bf981c2-962a-48ae-a8c5-6af54267cfea].[Day].[All]" dimensionUniqueName="[DateTableTemplate_8bf981c2-962a-48ae-a8c5-6af54267cfea]" displayFolder="" count="0" unbalanced="0" hidden="1"/>
    <cacheHierarchy uniqueName="[DateTableTemplate_8bf981c2-962a-48ae-a8c5-6af54267cfea].[Month]" caption="Month" attribute="1" defaultMemberUniqueName="[DateTableTemplate_8bf981c2-962a-48ae-a8c5-6af54267cfea].[Month].[All]" allUniqueName="[DateTableTemplate_8bf981c2-962a-48ae-a8c5-6af54267cfea].[Month].[All]" dimensionUniqueName="[DateTableTemplate_8bf981c2-962a-48ae-a8c5-6af54267cfea]" displayFolder="" count="0" unbalanced="0" hidden="1"/>
    <cacheHierarchy uniqueName="[DateTableTemplate_8bf981c2-962a-48ae-a8c5-6af54267cfea].[MonthNo]" caption="MonthNo" attribute="1" defaultMemberUniqueName="[DateTableTemplate_8bf981c2-962a-48ae-a8c5-6af54267cfea].[MonthNo].[All]" allUniqueName="[DateTableTemplate_8bf981c2-962a-48ae-a8c5-6af54267cfea].[MonthNo].[All]" dimensionUniqueName="[DateTableTemplate_8bf981c2-962a-48ae-a8c5-6af54267cfea]" displayFolder="" count="0" unbalanced="0" hidden="1"/>
    <cacheHierarchy uniqueName="[DateTableTemplate_8bf981c2-962a-48ae-a8c5-6af54267cfea].[Quarter]" caption="Quarter" attribute="1" defaultMemberUniqueName="[DateTableTemplate_8bf981c2-962a-48ae-a8c5-6af54267cfea].[Quarter].[All]" allUniqueName="[DateTableTemplate_8bf981c2-962a-48ae-a8c5-6af54267cfea].[Quarter].[All]" dimensionUniqueName="[DateTableTemplate_8bf981c2-962a-48ae-a8c5-6af54267cfea]" displayFolder="" count="0" unbalanced="0" hidden="1"/>
    <cacheHierarchy uniqueName="[DateTableTemplate_8bf981c2-962a-48ae-a8c5-6af54267cfea].[QuarterNo]" caption="QuarterNo" attribute="1" defaultMemberUniqueName="[DateTableTemplate_8bf981c2-962a-48ae-a8c5-6af54267cfea].[QuarterNo].[All]" allUniqueName="[DateTableTemplate_8bf981c2-962a-48ae-a8c5-6af54267cfea].[QuarterNo].[All]" dimensionUniqueName="[DateTableTemplate_8bf981c2-962a-48ae-a8c5-6af54267cfea]" displayFolder="" count="0" unbalanced="0" hidden="1"/>
    <cacheHierarchy uniqueName="[DateTableTemplate_8bf981c2-962a-48ae-a8c5-6af54267cfea].[Year]" caption="Year" attribute="1" defaultMemberUniqueName="[DateTableTemplate_8bf981c2-962a-48ae-a8c5-6af54267cfea].[Year].[All]" allUniqueName="[DateTableTemplate_8bf981c2-962a-48ae-a8c5-6af54267cfea].[Year].[All]" dimensionUniqueName="[DateTableTemplate_8bf981c2-962a-48ae-a8c5-6af54267cfea]" displayFolder="" count="0" unbalanced="0" hidden="1"/>
    <cacheHierarchy uniqueName="[DimBusinessUnit].[BusinessUnitID]" caption="BusinessUnitID" attribute="1" defaultMemberUniqueName="[DimBusinessUnit].[BusinessUnitID].[All]" allUniqueName="[DimBusinessUnit].[BusinessUnitID].[All]" dimensionUniqueName="[DimBusinessUnit]" displayFolder="" count="0" unbalanced="0" hidden="1"/>
    <cacheHierarchy uniqueName="[DimBusinessUnit].[RegionID]" caption="RegionID" attribute="1" defaultMemberUniqueName="[DimBusinessUnit].[RegionID].[All]" allUniqueName="[DimBusinessUnit].[RegionID].[All]" dimensionUniqueName="[DimBusinessUnit]" displayFolder="" count="0" unbalanced="0" hidden="1"/>
    <cacheHierarchy uniqueName="[DimDate].[DayOfWeekNumber]" caption="DayOfWeekNumber" attribute="1" time="1" defaultMemberUniqueName="[DimDate].[DayOfWeekNumber].[All]" allUniqueName="[DimDate].[DayOfWeekNumber].[All]" dimensionUniqueName="[DimDate]" displayFolder="" count="0" unbalanced="0" hidden="1"/>
    <cacheHierarchy uniqueName="[DimDate].[MonthID]" caption="MonthID" attribute="1" time="1" defaultMemberUniqueName="[DimDate].[MonthID].[All]" allUniqueName="[DimDate].[MonthID].[All]" dimensionUniqueName="[DimDate]" displayFolder="" count="0" unbalanced="0" hidden="1"/>
    <cacheHierarchy uniqueName="[DimDate].[MonthNumber]" caption="MonthNumber" attribute="1" time="1" defaultMemberUniqueName="[DimDate].[MonthNumber].[All]" allUniqueName="[DimDate].[MonthNumber].[All]" dimensionUniqueName="[DimDate]" displayFolder="" count="0" unbalanced="0" hidden="1"/>
    <cacheHierarchy uniqueName="[DimDate].[QuarterNumber]" caption="QuarterNumber" attribute="1" time="1" defaultMemberUniqueName="[DimDate].[QuarterNumber].[All]" allUniqueName="[DimDate].[QuarterNumber].[All]" dimensionUniqueName="[DimDate]" displayFolder="" count="0" unbalanced="0" hidden="1"/>
    <cacheHierarchy uniqueName="[DimDate].[QuarterSort]" caption="QuarterSort" attribute="1" time="1" defaultMemberUniqueName="[DimDate].[QuarterSort].[All]" allUniqueName="[DimDate].[QuarterSort].[All]" dimensionUniqueName="[DimDate]" displayFolder="" count="0" unbalanced="0" hidden="1"/>
    <cacheHierarchy uniqueName="[DimGLAccount].[GLAccountID]" caption="GLAccountID" attribute="1" defaultMemberUniqueName="[DimGLAccount].[GLAccountID].[All]" allUniqueName="[DimGLAccount].[GLAccountID].[All]" dimensionUniqueName="[DimGLAccount]" displayFolder="" count="0" unbalanced="0" hidden="1"/>
    <cacheHierarchy uniqueName="[DimJournal].[JournalID]" caption="JournalID" attribute="1" defaultMemberUniqueName="[DimJournal].[JournalID].[All]" allUniqueName="[DimJournal].[JournalID].[All]" dimensionUniqueName="[DimJournal]" displayFolder="" count="0" unbalanced="0" hidden="1"/>
    <cacheHierarchy uniqueName="[DimRegion].[RegionID]" caption="RegionID" attribute="1" defaultMemberUniqueName="[DimRegion].[RegionID].[All]" allUniqueName="[DimRegion].[RegionID].[All]" dimensionUniqueName="[DimRegion]" displayFolder="" count="0" unbalanced="0" hidden="1"/>
    <cacheHierarchy uniqueName="[Fact_GLTransactions].[BusinessUnitID]" caption="BusinessUnitID" attribute="1" defaultMemberUniqueName="[Fact_GLTransactions].[BusinessUnitID].[All]" allUniqueName="[Fact_GLTransactions].[BusinessUnitID].[All]" dimensionUniqueName="[Fact_GLTransactions]" displayFolder="" count="0" unbalanced="0" hidden="1"/>
    <cacheHierarchy uniqueName="[Fact_GLTransactions].[Credit]" caption="Credit" attribute="1" defaultMemberUniqueName="[Fact_GLTransactions].[Credit].[All]" allUniqueName="[Fact_GLTransactions].[Credit].[All]" dimensionUniqueName="[Fact_GLTransactions]" displayFolder="" count="0" unbalanced="0" hidden="1"/>
    <cacheHierarchy uniqueName="[Fact_GLTransactions].[Debit]" caption="Debit" attribute="1" defaultMemberUniqueName="[Fact_GLTransactions].[Debit].[All]" allUniqueName="[Fact_GLTransactions].[Debit].[All]" dimensionUniqueName="[Fact_GLTransactions]" displayFolder="" count="0" unbalanced="0" hidden="1"/>
    <cacheHierarchy uniqueName="[Fact_GLTransactions].[GLAccountID]" caption="GLAccountID" attribute="1" defaultMemberUniqueName="[Fact_GLTransactions].[GLAccountID].[All]" allUniqueName="[Fact_GLTransactions].[GLAccountID].[All]" dimensionUniqueName="[Fact_GLTransactions]" displayFolder="" count="0" unbalanced="0" hidden="1"/>
    <cacheHierarchy uniqueName="[Fact_GLTransactions].[GLAmount]" caption="GLAmount" attribute="1" defaultMemberUniqueName="[Fact_GLTransactions].[GLAmount].[All]" allUniqueName="[Fact_GLTransactions].[GLAmount].[All]" dimensionUniqueName="[Fact_GLTransactions]" displayFolder="" count="0" unbalanced="0" hidden="1"/>
    <cacheHierarchy uniqueName="[Fact_GLTransactions].[JournalID]" caption="JournalID" attribute="1" defaultMemberUniqueName="[Fact_GLTransactions].[JournalID].[All]" allUniqueName="[Fact_GLTransactions].[JournalID].[All]" dimensionUniqueName="[Fact_GLTransactions]" displayFolder="" count="0" unbalanced="0" hidden="1"/>
    <cacheHierarchy uniqueName="[Fact_GLTransactions].[PostingDate]" caption="PostingDate" attribute="1" defaultMemberUniqueName="[Fact_GLTransactions].[PostingDate].[All]" allUniqueName="[Fact_GLTransactions].[PostingDate].[All]" dimensionUniqueName="[Fact_GLTransactions]" displayFolder="" count="0" unbalanced="0" hidden="1"/>
    <cacheHierarchy uniqueName="[Fact_GLTransactions].[ReportingAmount]" caption="ReportingAmount" attribute="1" defaultMemberUniqueName="[Fact_GLTransactions].[ReportingAmount].[All]" allUniqueName="[Fact_GLTransactions].[ReportingAmount].[All]" dimensionUniqueName="[Fact_GLTransactions]" displayFolder="" count="0" unbalanced="0" hidden="1"/>
    <cacheHierarchy uniqueName="[Fact_GLTransactions].[TransactionLineID]" caption="TransactionLineID" attribute="1" defaultMemberUniqueName="[Fact_GLTransactions].[TransactionLineID].[All]" allUniqueName="[Fact_GLTransactions].[TransactionLineID].[All]" dimensionUniqueName="[Fact_GLTransactions]" displayFolder="" count="0" unbalanced="0" hidden="1"/>
    <cacheHierarchy uniqueName="[LocalDateTable_6a2b6deb-0efb-4e00-bec8-c961062bd653].[Date]" caption="Date" attribute="1" defaultMemberUniqueName="[LocalDateTable_6a2b6deb-0efb-4e00-bec8-c961062bd653].[Date].[All]" allUniqueName="[LocalDateTable_6a2b6deb-0efb-4e00-bec8-c961062bd653].[Date].[All]" dimensionUniqueName="[LocalDateTable_6a2b6deb-0efb-4e00-bec8-c961062bd653]" displayFolder="" count="0" unbalanced="0" hidden="1"/>
    <cacheHierarchy uniqueName="[LocalDateTable_6a2b6deb-0efb-4e00-bec8-c961062bd653].[Date Hierarchy]" caption="Date Hierarchy" defaultMemberUniqueName="[LocalDateTable_6a2b6deb-0efb-4e00-bec8-c961062bd653].[Date Hierarchy].[All]" allUniqueName="[LocalDateTable_6a2b6deb-0efb-4e00-bec8-c961062bd653].[Date Hierarchy].[All]" dimensionUniqueName="[LocalDateTable_6a2b6deb-0efb-4e00-bec8-c961062bd653]" displayFolder="" count="0" unbalanced="0" hidden="1"/>
    <cacheHierarchy uniqueName="[LocalDateTable_6a2b6deb-0efb-4e00-bec8-c961062bd653].[Day]" caption="Day" attribute="1" defaultMemberUniqueName="[LocalDateTable_6a2b6deb-0efb-4e00-bec8-c961062bd653].[Day].[All]" allUniqueName="[LocalDateTable_6a2b6deb-0efb-4e00-bec8-c961062bd653].[Day].[All]" dimensionUniqueName="[LocalDateTable_6a2b6deb-0efb-4e00-bec8-c961062bd653]" displayFolder="" count="0" unbalanced="0" hidden="1"/>
    <cacheHierarchy uniqueName="[LocalDateTable_6a2b6deb-0efb-4e00-bec8-c961062bd653].[Month]" caption="Month" attribute="1" defaultMemberUniqueName="[LocalDateTable_6a2b6deb-0efb-4e00-bec8-c961062bd653].[Month].[All]" allUniqueName="[LocalDateTable_6a2b6deb-0efb-4e00-bec8-c961062bd653].[Month].[All]" dimensionUniqueName="[LocalDateTable_6a2b6deb-0efb-4e00-bec8-c961062bd653]" displayFolder="" count="0" unbalanced="0" hidden="1"/>
    <cacheHierarchy uniqueName="[LocalDateTable_6a2b6deb-0efb-4e00-bec8-c961062bd653].[MonthNo]" caption="MonthNo" attribute="1" defaultMemberUniqueName="[LocalDateTable_6a2b6deb-0efb-4e00-bec8-c961062bd653].[MonthNo].[All]" allUniqueName="[LocalDateTable_6a2b6deb-0efb-4e00-bec8-c961062bd653].[MonthNo].[All]" dimensionUniqueName="[LocalDateTable_6a2b6deb-0efb-4e00-bec8-c961062bd653]" displayFolder="" count="0" unbalanced="0" hidden="1"/>
    <cacheHierarchy uniqueName="[LocalDateTable_6a2b6deb-0efb-4e00-bec8-c961062bd653].[Quarter]" caption="Quarter" attribute="1" defaultMemberUniqueName="[LocalDateTable_6a2b6deb-0efb-4e00-bec8-c961062bd653].[Quarter].[All]" allUniqueName="[LocalDateTable_6a2b6deb-0efb-4e00-bec8-c961062bd653].[Quarter].[All]" dimensionUniqueName="[LocalDateTable_6a2b6deb-0efb-4e00-bec8-c961062bd653]" displayFolder="" count="0" unbalanced="0" hidden="1"/>
    <cacheHierarchy uniqueName="[LocalDateTable_6a2b6deb-0efb-4e00-bec8-c961062bd653].[QuarterNo]" caption="QuarterNo" attribute="1" defaultMemberUniqueName="[LocalDateTable_6a2b6deb-0efb-4e00-bec8-c961062bd653].[QuarterNo].[All]" allUniqueName="[LocalDateTable_6a2b6deb-0efb-4e00-bec8-c961062bd653].[QuarterNo].[All]" dimensionUniqueName="[LocalDateTable_6a2b6deb-0efb-4e00-bec8-c961062bd653]" displayFolder="" count="0" unbalanced="0" hidden="1"/>
    <cacheHierarchy uniqueName="[LocalDateTable_6a2b6deb-0efb-4e00-bec8-c961062bd653].[Year]" caption="Year" attribute="1" defaultMemberUniqueName="[LocalDateTable_6a2b6deb-0efb-4e00-bec8-c961062bd653].[Year].[All]" allUniqueName="[LocalDateTable_6a2b6deb-0efb-4e00-bec8-c961062bd653].[Year].[All]" dimensionUniqueName="[LocalDateTable_6a2b6deb-0efb-4e00-bec8-c961062bd653]" displayFolder="" count="0" unbalanced="0" hidden="1"/>
    <cacheHierarchy uniqueName="[Measures_].[Column]" caption="Column" attribute="1" defaultMemberUniqueName="[Measures_].[Column].[All]" allUniqueName="[Measures_].[Column].[All]" dimensionUniqueName="[Measures_]" displayFolder="" count="0" unbalanced="0" hidden="1"/>
    <cacheHierarchy uniqueName="[Measures].[GL_Amount]" caption="GL_Amount" measure="1" displayFolder="" measureGroup="Measures_" count="0"/>
    <cacheHierarchy uniqueName="[Measures].[Total Debit]" caption="Total Debit" measure="1" displayFolder="" measureGroup="Measures_" count="0"/>
    <cacheHierarchy uniqueName="[Measures].[Total Credit]" caption="Total Credit" measure="1" displayFolder="" measureGroup="Measures_" count="0"/>
    <cacheHierarchy uniqueName="[Measures].[Reporting Amount]" caption="Reporting Amount" measure="1" displayFolder="" measureGroup="Measures_" count="0"/>
    <cacheHierarchy uniqueName="[Measures].[Debit Credit Check]" caption="Debit Credit Check" measure="1" displayFolder="" measureGroup="Measures_" count="0"/>
    <cacheHierarchy uniqueName="[Measures].[Transaction Lines]" caption="Transaction Lines" measure="1" displayFolder="" measureGroup="Measures_" count="0"/>
    <cacheHierarchy uniqueName="[Measures].[Journal Count]" caption="Journal Count" measure="1" displayFolder="" measureGroup="Measures_" count="0"/>
    <cacheHierarchy uniqueName="[Measures].[Revenue]" caption="Revenue" measure="1" displayFolder="" measureGroup="Measures_" count="0"/>
    <cacheHierarchy uniqueName="[Measures].[Cost of Sales]" caption="Cost of Sales" measure="1" displayFolder="" measureGroup="Measures_" count="0"/>
    <cacheHierarchy uniqueName="[Measures].[Operating Expenses]" caption="Operating Expenses" measure="1" displayFolder="" measureGroup="Measures_" count="0"/>
    <cacheHierarchy uniqueName="[Measures].[Interest Expenses]" caption="Interest Expenses" measure="1" displayFolder="" measureGroup="Measures_" count="0"/>
    <cacheHierarchy uniqueName="[Measures].[Income Tax Expenses]" caption="Income Tax Expenses" measure="1" displayFolder="" measureGroup="Measures_" count="0"/>
    <cacheHierarchy uniqueName="[Measures].[Gross Profit]" caption="Gross Profit" measure="1" displayFolder="" measureGroup="Measures_" count="0"/>
    <cacheHierarchy uniqueName="[Measures].[Gross Profit %]" caption="Gross Profit %" measure="1" displayFolder="" measureGroup="Measures_" count="0"/>
    <cacheHierarchy uniqueName="[Measures].[EBIT]" caption="EBIT" measure="1" displayFolder="" measureGroup="Measures_" count="0"/>
    <cacheHierarchy uniqueName="[Measures].[EBIT %]" caption="EBIT %" measure="1" displayFolder="" measureGroup="Measures_" count="0"/>
    <cacheHierarchy uniqueName="[Measures].[EBT]" caption="EBT" measure="1" displayFolder="" measureGroup="Measures_" count="0"/>
    <cacheHierarchy uniqueName="[Measures].[Net Income]" caption="Net Income" measure="1" displayFolder="" measureGroup="Measures_" count="0" oneField="1">
      <fieldsUsage count="1">
        <fieldUsage x="1"/>
      </fieldsUsage>
    </cacheHierarchy>
    <cacheHierarchy uniqueName="[Measures].[Net Income %]" caption="Net Income %" measure="1" displayFolder="" measureGroup="Measures_" count="0"/>
    <cacheHierarchy uniqueName="[Measures].[Current Amount]" caption="Current Amount" measure="1" displayFolder="" measureGroup="Measures_" count="0"/>
    <cacheHierarchy uniqueName="[Measures].[Income Statement Subtotal]" caption="Income Statement Subtotal" measure="1" displayFolder="" measureGroup="Measures_" count="0"/>
    <cacheHierarchy uniqueName="[Measures].[Income Statement Percentage]" caption="Income Statement Percentage" measure="1" displayFolder="" measureGroup="Measures_" count="0"/>
    <cacheHierarchy uniqueName="[Measures].[Income Statement Value]" caption="Income Statement Value" measure="1" displayFolder="" measureGroup="Measures_" count="0"/>
    <cacheHierarchy uniqueName="[Measures].[Last Refresh]" caption="Last Refresh" measure="1" displayFolder="" measureGroup="Measures_" count="0"/>
    <cacheHierarchy uniqueName="[Measures].[Income Statement Waterfall]" caption="Income Statement Waterfall" measure="1" displayFolder="" measureGroup="Measures_" count="0"/>
    <cacheHierarchy uniqueName="[Measures].[Cumulative Balance]" caption="Cumulative Balance" measure="1" displayFolder="" measureGroup="Measures_" count="0"/>
    <cacheHierarchy uniqueName="[Measures].[Retained Earnings]" caption="Retained Earnings" measure="1" displayFolder="" measureGroup="Measures_" count="0"/>
    <cacheHierarchy uniqueName="[Measures].[Total Assets]" caption="Total Assets" measure="1" displayFolder="" measureGroup="Measures_" count="0"/>
    <cacheHierarchy uniqueName="[Measures].[Total Liabilities]" caption="Total Liabilities" measure="1" displayFolder="" measureGroup="Measures_" count="0"/>
    <cacheHierarchy uniqueName="[Measures].[Equity Before Retained Earnings]" caption="Equity Before Retained Earnings" measure="1" displayFolder="" measureGroup="Measures_" count="0"/>
    <cacheHierarchy uniqueName="[Measures].[Total Equity]" caption="Total Equity" measure="1" displayFolder="" measureGroup="Measures_" count="0"/>
    <cacheHierarchy uniqueName="[Measures].[Total Liabilities &amp; Equity]" caption="Total Liabilities &amp; Equity" measure="1" displayFolder="" measureGroup="Measures_" count="0"/>
    <cacheHierarchy uniqueName="[Measures].[Balance Sheet Check]" caption="Balance Sheet Check" measure="1" displayFolder="" measureGroup="Measures_" count="0"/>
    <cacheHierarchy uniqueName="[Measures].[Balance Sheet Current Balance]" caption="Balance Sheet Current Balance" measure="1" displayFolder="" measureGroup="Measures_" count="0"/>
    <cacheHierarchy uniqueName="[Measures].[Balance Sheet Section Subtotal]" caption="Balance Sheet Section Subtotal" measure="1" displayFolder="" measureGroup="Measures_" count="0"/>
    <cacheHierarchy uniqueName="[Measures].[Balance Sheet Value]" caption="Balance Sheet Value" measure="1" displayFolder="" measureGroup="Measures_" count="0"/>
    <cacheHierarchy uniqueName="[Measures].[Current Assets Balance]" caption="Current Assets Balance" measure="1" displayFolder="" measureGroup="Measures_" count="0"/>
    <cacheHierarchy uniqueName="[Measures].[Current Liabilities Balance]" caption="Current Liabilities Balance" measure="1" displayFolder="" measureGroup="Measures_" count="0"/>
    <cacheHierarchy uniqueName="[Measures].[Current Ratio]" caption="Current Ratio" measure="1" displayFolder="" measureGroup="Measures_" count="0"/>
    <cacheHierarchy uniqueName="[Measures].[Working Capital]" caption="Working Capital" measure="1" displayFolder="" measureGroup="Measures_" count="0"/>
    <cacheHierarchy uniqueName="[Measures].[Debt Ratio]" caption="Debt Ratio" measure="1" displayFolder="" measureGroup="Measures_" count="0"/>
    <cacheHierarchy uniqueName="[Measures].[Unbalanced Journals]" caption="Unbalanced Journals" measure="1" displayFolder="" measureGroup="Measures_" count="0"/>
    <cacheHierarchy uniqueName="[Measures].[Validation Status]" caption="Validation Status" measure="1" displayFolder="" measureGroup="Measures_" count="0"/>
    <cacheHierarchy uniqueName="[Measures].[__Default measure]" caption="__Default measure" measure="1" displayFolder="" count="0" hidden="1"/>
  </cacheHierarchies>
  <kpis count="0"/>
  <dimensions count="9">
    <dimension name="DimBusinessUnit" uniqueName="[DimBusinessUnit]" caption="DimBusinessUnit"/>
    <dimension name="DimDate" uniqueName="[DimDate]" caption="DimDate"/>
    <dimension name="DimGLAccount" uniqueName="[DimGLAccount]" caption="DimGLAccount"/>
    <dimension name="DimJournal" uniqueName="[DimJournal]" caption="DimJournal"/>
    <dimension name="DimRegion" uniqueName="[DimRegion]" caption="DimRegion"/>
    <dimension name="Fact_GLTransactions" uniqueName="[Fact_GLTransactions]" caption="Fact_GLTransactions"/>
    <dimension measure="1" name="Measures" uniqueName="[Measures]" caption="Measures"/>
    <dimension name="RefreshInfo" uniqueName="[RefreshInfo]" caption="RefreshInfo"/>
    <dimension name="StatementHeaders" uniqueName="[StatementHeaders]" caption="StatementHeaders"/>
  </dimensions>
  <measureGroups count="11">
    <measureGroup name="DateTableTemplate_8bf981c2-962a-48ae-a8c5-6af54267cfea" caption="DateTableTemplate_8bf981c2-962a-48ae-a8c5-6af54267cfea"/>
    <measureGroup name="DimBusinessUnit" caption="DimBusinessUnit"/>
    <measureGroup name="DimDate" caption="DimDate"/>
    <measureGroup name="DimGLAccount" caption="DimGLAccount"/>
    <measureGroup name="DimJournal" caption="DimJournal"/>
    <measureGroup name="DimRegion" caption="DimRegion"/>
    <measureGroup name="Fact_GLTransactions" caption="Fact_GLTransactions"/>
    <measureGroup name="LocalDateTable_6a2b6deb-0efb-4e00-bec8-c961062bd653" caption="LocalDateTable_6a2b6deb-0efb-4e00-bec8-c961062bd653"/>
    <measureGroup name="Measures_" caption="Measures_"/>
    <measureGroup name="RefreshInfo" caption="RefreshInfo"/>
    <measureGroup name="StatementHeaders" caption="StatementHeaders"/>
  </measureGroups>
  <maps count="14">
    <map measureGroup="1" dimension="0"/>
    <map measureGroup="1" dimension="4"/>
    <map measureGroup="2" dimension="1"/>
    <map measureGroup="3" dimension="2"/>
    <map measureGroup="4" dimension="3"/>
    <map measureGroup="5" dimension="4"/>
    <map measureGroup="6" dimension="0"/>
    <map measureGroup="6" dimension="1"/>
    <map measureGroup="6" dimension="2"/>
    <map measureGroup="6" dimension="3"/>
    <map measureGroup="6" dimension="4"/>
    <map measureGroup="6" dimension="5"/>
    <map measureGroup="9" dimension="7"/>
    <map measureGroup="1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fieldListSortAscending="1">
  <location ref="A1:E3" firstHeaderRow="1" firstDataRow="2" firstDataCol="1"/>
  <pivotFields count="2">
    <pivotField axis="axisCol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fld="1" baseField="0" baseItem="0"/>
  </dataFields>
  <pivotHierarchies count="11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14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zoomScaleNormal="100" zoomScaleSheetLayoutView="100"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16.28515625" bestFit="1" customWidth="1"/>
    <col min="3" max="4" width="11.140625" bestFit="1" customWidth="1"/>
    <col min="5" max="5" width="11.7109375" bestFit="1" customWidth="1"/>
  </cols>
  <sheetData>
    <row r="1" spans="1:5" x14ac:dyDescent="0.25">
      <c r="B1" s="1" t="s">
        <v>0</v>
      </c>
    </row>
    <row r="2" spans="1:5" x14ac:dyDescent="0.25"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s="2">
        <v>511475.76</v>
      </c>
      <c r="C3" s="2">
        <v>620943.81000000006</v>
      </c>
      <c r="D3" s="2">
        <v>703879.33</v>
      </c>
      <c r="E3" s="2">
        <v>1836298.9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CE71-2D6B-471D-AFA5-E02E342C7043}">
  <dimension ref="A1:E3"/>
  <sheetViews>
    <sheetView zoomScaleNormal="100" zoomScaleSheetLayoutView="100"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16.28515625" bestFit="1" customWidth="1"/>
    <col min="3" max="4" width="11.140625" bestFit="1" customWidth="1"/>
    <col min="5" max="5" width="11.7109375" bestFit="1" customWidth="1"/>
  </cols>
  <sheetData>
    <row r="1" spans="1:5" x14ac:dyDescent="0.25">
      <c r="B1" t="s">
        <v>0</v>
      </c>
    </row>
    <row r="2" spans="1:5" x14ac:dyDescent="0.25">
      <c r="B2" t="str" vm="5">
        <f>CUBEMEMBER("pbiazure://api.powerbi.com 7166fa81-c3df-42e3-80e1-a70c4997ce97 Model","[DimDate].[Year].&amp;[2023]")</f>
        <v>2023</v>
      </c>
      <c r="C2" t="str" vm="4">
        <f>CUBEMEMBER("pbiazure://api.powerbi.com 7166fa81-c3df-42e3-80e1-a70c4997ce97 Model","[DimDate].[Year].&amp;[2024]")</f>
        <v>2024</v>
      </c>
      <c r="D2" t="str" vm="3">
        <f>CUBEMEMBER("pbiazure://api.powerbi.com 7166fa81-c3df-42e3-80e1-a70c4997ce97 Model","[DimDate].[Year].&amp;[2025]")</f>
        <v>2025</v>
      </c>
      <c r="E2" t="str" vm="2">
        <f>CUBEMEMBER("pbiazure://api.powerbi.com 7166fa81-c3df-42e3-80e1-a70c4997ce97 Model","[DimDate].[Year].[All]","Grand Total")</f>
        <v>Grand Total</v>
      </c>
    </row>
    <row r="3" spans="1:5" x14ac:dyDescent="0.25">
      <c r="A3" t="str" vm="1">
        <f>CUBEMEMBER("pbiazure://api.powerbi.com 7166fa81-c3df-42e3-80e1-a70c4997ce97 Model","[Measures].[Net Income]")</f>
        <v>Net Income</v>
      </c>
      <c r="B3" vm="9">
        <f>CUBEVALUE("pbiazure://api.powerbi.com 7166fa81-c3df-42e3-80e1-a70c4997ce97 Model",$A3,B$2)</f>
        <v>511475.76</v>
      </c>
      <c r="C3" vm="8">
        <f>CUBEVALUE("pbiazure://api.powerbi.com 7166fa81-c3df-42e3-80e1-a70c4997ce97 Model",$A3,C$2)</f>
        <v>620943.81000000006</v>
      </c>
      <c r="D3" vm="7">
        <f>CUBEVALUE("pbiazure://api.powerbi.com 7166fa81-c3df-42e3-80e1-a70c4997ce97 Model",$A3,D$2)</f>
        <v>703879.33</v>
      </c>
      <c r="E3" vm="6">
        <f>CUBEVALUE("pbiazure://api.powerbi.com 7166fa81-c3df-42e3-80e1-a70c4997ce97 Model",$A3,E$2)</f>
        <v>1836298.9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4E2F-3ADE-4900-8756-0F2B139DE4F8}">
  <dimension ref="A1:H35"/>
  <sheetViews>
    <sheetView showGridLines="0" tabSelected="1" zoomScaleNormal="100" workbookViewId="0">
      <selection activeCell="J18" sqref="J18"/>
    </sheetView>
  </sheetViews>
  <sheetFormatPr defaultRowHeight="15" x14ac:dyDescent="0.25"/>
  <cols>
    <col min="1" max="1" width="41.42578125" bestFit="1" customWidth="1"/>
    <col min="2" max="2" width="2.140625" customWidth="1"/>
    <col min="3" max="3" width="15.5703125" bestFit="1" customWidth="1"/>
    <col min="4" max="5" width="14.140625" bestFit="1" customWidth="1"/>
    <col min="7" max="7" width="0" style="12" hidden="1" customWidth="1"/>
    <col min="8" max="8" width="69" style="12" hidden="1" customWidth="1"/>
  </cols>
  <sheetData>
    <row r="1" spans="1:8" ht="21" x14ac:dyDescent="0.35">
      <c r="A1" s="6" t="s">
        <v>31</v>
      </c>
      <c r="B1" s="6"/>
      <c r="C1" s="6"/>
      <c r="D1" s="6"/>
      <c r="E1" s="6"/>
      <c r="H1" s="12" t="s">
        <v>17</v>
      </c>
    </row>
    <row r="2" spans="1:8" ht="18.75" x14ac:dyDescent="0.3">
      <c r="A2" s="7" t="s">
        <v>32</v>
      </c>
      <c r="B2" s="7"/>
      <c r="C2" s="7"/>
      <c r="D2" s="7"/>
      <c r="E2" s="7"/>
      <c r="H2" s="13" t="s">
        <v>18</v>
      </c>
    </row>
    <row r="3" spans="1:8" x14ac:dyDescent="0.25">
      <c r="A3" s="8" t="s">
        <v>6</v>
      </c>
      <c r="B3" s="8"/>
      <c r="C3" s="8"/>
      <c r="D3" s="8"/>
      <c r="E3" s="8"/>
    </row>
    <row r="4" spans="1:8" x14ac:dyDescent="0.25">
      <c r="C4" s="9" t="str" vm="5">
        <f>CUBEMEMBER($H$2,"[DimDate].[Year].&amp;[2023]")</f>
        <v>2023</v>
      </c>
      <c r="D4" s="9" t="str" vm="4">
        <f>CUBEMEMBER($H$2,"[DimDate].[Year].&amp;[2024]")</f>
        <v>2024</v>
      </c>
      <c r="E4" s="9" t="str" vm="3">
        <f>CUBEMEMBER($H$2,"[DimDate].[Year].&amp;[2025]")</f>
        <v>2025</v>
      </c>
    </row>
    <row r="6" spans="1:8" ht="15.75" x14ac:dyDescent="0.25">
      <c r="A6" s="10" t="s">
        <v>7</v>
      </c>
      <c r="B6" s="16"/>
      <c r="C6" s="16"/>
      <c r="D6" s="16"/>
      <c r="E6" s="16"/>
    </row>
    <row r="7" spans="1:8" x14ac:dyDescent="0.25">
      <c r="A7" t="s">
        <v>5</v>
      </c>
      <c r="C7" s="14" vm="9">
        <f>CUBEVALUE($H$2,"[Measures].[Net Income]",C$4)</f>
        <v>511475.76</v>
      </c>
      <c r="D7" s="14" vm="8">
        <f t="shared" ref="D7:E7" si="0">CUBEVALUE($H$2,"[Measures].[Net Income]",D$4)</f>
        <v>620943.81000000006</v>
      </c>
      <c r="E7" s="14" vm="7">
        <f t="shared" si="0"/>
        <v>703879.33</v>
      </c>
    </row>
    <row r="8" spans="1:8" x14ac:dyDescent="0.25">
      <c r="A8" t="s">
        <v>8</v>
      </c>
      <c r="C8" s="14" vm="10">
        <f>CUBEVALUE($H$2,"[Measures].[Reporting Amount]","[DimGLAccount].[Subcategory].&amp;[Depreciation Expenses]",C$4)</f>
        <v>246000</v>
      </c>
      <c r="D8" s="14" vm="11">
        <f t="shared" ref="D8:E8" si="1">CUBEVALUE($H$2,"[Measures].[Reporting Amount]","[DimGLAccount].[Subcategory].&amp;[Depreciation Expenses]",D$4)</f>
        <v>257070</v>
      </c>
      <c r="E8" s="14" vm="12">
        <f t="shared" si="1"/>
        <v>269370</v>
      </c>
    </row>
    <row r="9" spans="1:8" x14ac:dyDescent="0.25">
      <c r="A9" s="18" t="s">
        <v>9</v>
      </c>
      <c r="C9" s="14"/>
      <c r="D9" s="14"/>
      <c r="E9" s="14"/>
    </row>
    <row r="10" spans="1:8" x14ac:dyDescent="0.25">
      <c r="A10" s="11" t="s">
        <v>10</v>
      </c>
      <c r="C10" s="14">
        <f>CUBEVALUE($H$2,"[Measures].[Reporting Amount]","[DimGLAccount].[GLAccountName].&amp;["&amp;$A10&amp;"]","[DimJournal].[JournalType].&amp;[Opening Balance]")-CUBEVALUE($H$2,"[Measures].[Cumulative Balance]","[DimGLAccount].[GLAccountName].&amp;["&amp;$A10&amp;"]",C$4)</f>
        <v>-243610.93</v>
      </c>
      <c r="D10" s="14">
        <f>CUBEVALUE($H$2,"[Measures].[Cumulative Balance]","[DimGLAccount].[GLAccountName].&amp;["&amp;$A10&amp;"]",C$4)-CUBEVALUE($H$2,"[Measures].[Cumulative Balance]","[DimGLAccount].[GLAccountName].&amp;["&amp;$A10&amp;"]",D$4)</f>
        <v>-264654.22000000003</v>
      </c>
      <c r="E10" s="14">
        <f>CUBEVALUE($H$2,"[Measures].[Cumulative Balance]","[DimGLAccount].[GLAccountName].&amp;["&amp;$A10&amp;"]",D$4)-CUBEVALUE($H$2,"[Measures].[Cumulative Balance]","[DimGLAccount].[GLAccountName].&amp;["&amp;$A10&amp;"]",E$4)</f>
        <v>-285157.38</v>
      </c>
    </row>
    <row r="11" spans="1:8" x14ac:dyDescent="0.25">
      <c r="A11" s="11" t="s">
        <v>11</v>
      </c>
      <c r="C11" s="14">
        <f>CUBEVALUE($H$2,"[Measures].[Reporting Amount]","[DimGLAccount].[GLAccountName].&amp;["&amp;$A11&amp;"]","[DimJournal].[JournalType].&amp;[Opening Balance]")-CUBEVALUE($H$2,"[Measures].[Cumulative Balance]","[DimGLAccount].[GLAccountName].&amp;["&amp;$A11&amp;"]",C$4)</f>
        <v>-89818.280000000028</v>
      </c>
      <c r="D11" s="14">
        <f>CUBEVALUE($H$2,"[Measures].[Cumulative Balance]","[DimGLAccount].[GLAccountName].&amp;["&amp;$A11&amp;"]",C$4)-CUBEVALUE($H$2,"[Measures].[Cumulative Balance]","[DimGLAccount].[GLAccountName].&amp;["&amp;$A11&amp;"]",D$4)</f>
        <v>-80483.489999999991</v>
      </c>
      <c r="E11" s="14">
        <f>CUBEVALUE($H$2,"[Measures].[Cumulative Balance]","[DimGLAccount].[GLAccountName].&amp;["&amp;$A11&amp;"]",D$4)-CUBEVALUE($H$2,"[Measures].[Cumulative Balance]","[DimGLAccount].[GLAccountName].&amp;["&amp;$A11&amp;"]",E$4)</f>
        <v>-103078.87</v>
      </c>
    </row>
    <row r="12" spans="1:8" x14ac:dyDescent="0.25">
      <c r="A12" s="11" t="s">
        <v>12</v>
      </c>
      <c r="C12" s="14">
        <f t="shared" ref="C12" si="2">CUBEVALUE($H$2,"[Measures].[Reporting Amount]","[DimGLAccount].[GLAccountName].&amp;["&amp;$A12&amp;"]","[DimJournal].[JournalType].&amp;[Opening Balance]")-CUBEVALUE($H$2,"[Measures].[Cumulative Balance]","[DimGLAccount].[GLAccountName].&amp;["&amp;$A12&amp;"]",C$4)</f>
        <v>-4.0000000000873115E-2</v>
      </c>
      <c r="D12" s="14">
        <f t="shared" ref="D12:E12" si="3">CUBEVALUE($H$2,"[Measures].[Cumulative Balance]","[DimGLAccount].[GLAccountName].&amp;["&amp;$A12&amp;"]",C$4)-CUBEVALUE($H$2,"[Measures].[Cumulative Balance]","[DimGLAccount].[GLAccountName].&amp;["&amp;$A12&amp;"]",D$4)</f>
        <v>-4.0000000000873115E-2</v>
      </c>
      <c r="E12" s="14">
        <f t="shared" si="3"/>
        <v>0</v>
      </c>
    </row>
    <row r="13" spans="1:8" x14ac:dyDescent="0.25">
      <c r="A13" s="11" t="s">
        <v>13</v>
      </c>
      <c r="C13" s="14">
        <f>CUBEVALUE($H$2,"[Measures].[Cumulative Balance]","[DimGLAccount].[GLAccountName].&amp;["&amp;$A13&amp;"]",C$4)-CUBEVALUE($H$2,"[Measures].[Reporting Amount]","[DimGLAccount].[GLAccountName].&amp;["&amp;$A13&amp;"]","[DimJournal].[JournalType].&amp;[Opening Balance]")</f>
        <v>114963.79999999999</v>
      </c>
      <c r="D13" s="14">
        <f>CUBEVALUE($H$2,"[Measures].[Cumulative Balance]","[DimGLAccount].[GLAccountName].&amp;["&amp;$A13&amp;"]",D$4)-CUBEVALUE($H$2,"[Measures].[Cumulative Balance]","[DimGLAccount].[GLAccountName].&amp;["&amp;$A13&amp;"]",C$4)</f>
        <v>131841.56</v>
      </c>
      <c r="E13" s="14">
        <f>CUBEVALUE($H$2,"[Measures].[Cumulative Balance]","[DimGLAccount].[GLAccountName].&amp;["&amp;$A13&amp;"]",E$4)-CUBEVALUE($H$2,"[Measures].[Cumulative Balance]","[DimGLAccount].[GLAccountName].&amp;["&amp;$A13&amp;"]",D$4)</f>
        <v>129972.72999999998</v>
      </c>
    </row>
    <row r="14" spans="1:8" x14ac:dyDescent="0.25">
      <c r="A14" s="11" t="s">
        <v>14</v>
      </c>
      <c r="C14" s="14">
        <f>CUBEVALUE($H$2,"[Measures].[Cumulative Balance]","[DimGLAccount].[GLAccountName].&amp;["&amp;$A14&amp;"]",C$4)-CUBEVALUE($H$2,"[Measures].[Reporting Amount]","[DimGLAccount].[GLAccountName].&amp;["&amp;$A14&amp;"]","[DimJournal].[JournalType].&amp;[Opening Balance]")</f>
        <v>0</v>
      </c>
      <c r="D14" s="14">
        <f>CUBEVALUE($H$2,"[Measures].[Cumulative Balance]","[DimGLAccount].[GLAccountName].&amp;["&amp;$A14&amp;"]",D$4)-CUBEVALUE($H$2,"[Measures].[Cumulative Balance]","[DimGLAccount].[GLAccountName].&amp;["&amp;$A14&amp;"]",C$4)</f>
        <v>0</v>
      </c>
      <c r="E14" s="14">
        <f>CUBEVALUE($H$2,"[Measures].[Cumulative Balance]","[DimGLAccount].[GLAccountName].&amp;["&amp;$A14&amp;"]",E$4)-CUBEVALUE($H$2,"[Measures].[Cumulative Balance]","[DimGLAccount].[GLAccountName].&amp;["&amp;$A14&amp;"]",D$4)</f>
        <v>0</v>
      </c>
    </row>
    <row r="15" spans="1:8" x14ac:dyDescent="0.25">
      <c r="A15" s="11" t="s">
        <v>15</v>
      </c>
      <c r="C15" s="14">
        <f t="shared" ref="C15:C16" si="4">CUBEVALUE($H$2,"[Measures].[Cumulative Balance]","[DimGLAccount].[GLAccountName].&amp;["&amp;$A15&amp;"]",C$4)-CUBEVALUE($H$2,"[Measures].[Reporting Amount]","[DimGLAccount].[GLAccountName].&amp;["&amp;$A15&amp;"]","[DimJournal].[JournalType].&amp;[Opening Balance]")</f>
        <v>0</v>
      </c>
      <c r="D15" s="14">
        <f t="shared" ref="D15:D16" si="5">CUBEVALUE($H$2,"[Measures].[Cumulative Balance]","[DimGLAccount].[GLAccountName].&amp;["&amp;$A15&amp;"]",D$4)-CUBEVALUE($H$2,"[Measures].[Cumulative Balance]","[DimGLAccount].[GLAccountName].&amp;["&amp;$A15&amp;"]",C$4)</f>
        <v>0</v>
      </c>
      <c r="E15" s="14">
        <f t="shared" ref="E15:E16" si="6">CUBEVALUE($H$2,"[Measures].[Cumulative Balance]","[DimGLAccount].[GLAccountName].&amp;["&amp;$A15&amp;"]",E$4)-CUBEVALUE($H$2,"[Measures].[Cumulative Balance]","[DimGLAccount].[GLAccountName].&amp;["&amp;$A15&amp;"]",D$4)</f>
        <v>0</v>
      </c>
    </row>
    <row r="16" spans="1:8" x14ac:dyDescent="0.25">
      <c r="A16" s="11" t="s">
        <v>16</v>
      </c>
      <c r="C16" s="14">
        <f t="shared" si="4"/>
        <v>73894.990000000005</v>
      </c>
      <c r="D16" s="14">
        <f t="shared" si="5"/>
        <v>34105.719999999987</v>
      </c>
      <c r="E16" s="14">
        <f t="shared" si="6"/>
        <v>27685.010000000009</v>
      </c>
    </row>
    <row r="17" spans="1:5" x14ac:dyDescent="0.25">
      <c r="A17" s="12" t="s">
        <v>7</v>
      </c>
      <c r="B17" s="12"/>
      <c r="C17" s="17">
        <f>SUM(C7:C16)</f>
        <v>612905.30000000005</v>
      </c>
      <c r="D17" s="17">
        <f t="shared" ref="D17:E17" si="7">SUM(D7:D16)</f>
        <v>698823.34000000008</v>
      </c>
      <c r="E17" s="17">
        <f t="shared" si="7"/>
        <v>742670.82</v>
      </c>
    </row>
    <row r="18" spans="1:5" x14ac:dyDescent="0.25">
      <c r="C18" s="14"/>
      <c r="D18" s="14"/>
      <c r="E18" s="14"/>
    </row>
    <row r="19" spans="1:5" ht="15.75" x14ac:dyDescent="0.25">
      <c r="A19" s="10" t="s">
        <v>20</v>
      </c>
      <c r="B19" s="16"/>
      <c r="C19" s="16"/>
      <c r="D19" s="16"/>
      <c r="E19" s="16"/>
    </row>
    <row r="20" spans="1:5" x14ac:dyDescent="0.25">
      <c r="A20" s="4" t="s">
        <v>19</v>
      </c>
      <c r="C20" s="14" vm="13">
        <f>CUBEVALUE($H$2,"[Measures].[Reporting Amount]","[DimGLAccount].[GLAccountName].&amp;[Cash and Cash Equivalents]","[DimJournal].[JournalType].&amp;[Asset Purchase]",C$4)</f>
        <v>-218742.22</v>
      </c>
      <c r="D20" s="14" vm="14">
        <f t="shared" ref="D20:E20" si="8">CUBEVALUE($H$2,"[Measures].[Reporting Amount]","[DimGLAccount].[GLAccountName].&amp;[Cash and Cash Equivalents]","[DimJournal].[JournalType].&amp;[Asset Purchase]",D$4)</f>
        <v>-193758.16</v>
      </c>
      <c r="E20" s="14" vm="15">
        <f t="shared" si="8"/>
        <v>-196429.85</v>
      </c>
    </row>
    <row r="21" spans="1:5" x14ac:dyDescent="0.25">
      <c r="A21" s="12" t="s">
        <v>20</v>
      </c>
      <c r="B21" s="12"/>
      <c r="C21" s="17">
        <f>SUM(C20)</f>
        <v>-218742.22</v>
      </c>
      <c r="D21" s="17">
        <f t="shared" ref="D21:E21" si="9">SUM(D20)</f>
        <v>-193758.16</v>
      </c>
      <c r="E21" s="17">
        <f t="shared" si="9"/>
        <v>-196429.85</v>
      </c>
    </row>
    <row r="22" spans="1:5" x14ac:dyDescent="0.25">
      <c r="C22" s="14"/>
      <c r="D22" s="14"/>
      <c r="E22" s="14"/>
    </row>
    <row r="23" spans="1:5" ht="15.75" x14ac:dyDescent="0.25">
      <c r="A23" s="10" t="s">
        <v>21</v>
      </c>
      <c r="B23" s="16"/>
      <c r="C23" s="16"/>
      <c r="D23" s="16"/>
      <c r="E23" s="16"/>
    </row>
    <row r="24" spans="1:5" x14ac:dyDescent="0.25">
      <c r="A24" s="3" t="s">
        <v>22</v>
      </c>
      <c r="B24" s="3"/>
      <c r="C24" s="14" t="str" vm="16">
        <f>CUBEVALUE($H$2,"[Measures].[Reporting Amount]","[DimGLAccount].[GLAccountName].&amp;[Cash and Cash Equivalents]","[DimJournal].[JournalType].&amp;[Debt Financing]",C$4)</f>
        <v/>
      </c>
      <c r="D24" s="14" vm="20">
        <f t="shared" ref="D24:E24" si="10">CUBEVALUE($H$2,"[Measures].[Reporting Amount]","[DimGLAccount].[GLAccountName].&amp;[Cash and Cash Equivalents]","[DimJournal].[JournalType].&amp;[Debt Financing]",D$4)</f>
        <v>250000</v>
      </c>
      <c r="E24" s="14" t="str" vm="21">
        <f t="shared" si="10"/>
        <v/>
      </c>
    </row>
    <row r="25" spans="1:5" x14ac:dyDescent="0.25">
      <c r="A25" s="3" t="s">
        <v>23</v>
      </c>
      <c r="B25" s="3"/>
      <c r="C25" s="14" t="str" vm="17">
        <f>CUBEVALUE($H$2,"[Measures].[Reporting Amount]","[DimGLAccount].[GLAccountName].&amp;[Cash and Cash Equivalents]","[DimJournal].[JournalType].&amp;[Equity Contribution]",C$4)</f>
        <v/>
      </c>
      <c r="D25" s="14" vm="22">
        <f t="shared" ref="D25:E25" si="11">CUBEVALUE($H$2,"[Measures].[Reporting Amount]","[DimGLAccount].[GLAccountName].&amp;[Cash and Cash Equivalents]","[DimJournal].[JournalType].&amp;[Equity Contribution]",D$4)</f>
        <v>150000</v>
      </c>
      <c r="E25" s="14" t="str" vm="23">
        <f t="shared" si="11"/>
        <v/>
      </c>
    </row>
    <row r="26" spans="1:5" x14ac:dyDescent="0.25">
      <c r="A26" s="3" t="s">
        <v>24</v>
      </c>
      <c r="B26" s="3"/>
      <c r="C26" s="14" vm="18">
        <f>CUBEVALUE($H$2,"[Measures].[Reporting Amount]","[DimGLAccount].[GLAccountName].&amp;[Cash and Cash Equivalents]","[DimJournal].[JournalType].&amp;[Debt Payment]",C$4)</f>
        <v>-132000</v>
      </c>
      <c r="D26" s="14" vm="24">
        <f t="shared" ref="D26:E26" si="12">CUBEVALUE($H$2,"[Measures].[Reporting Amount]","[DimGLAccount].[GLAccountName].&amp;[Cash and Cash Equivalents]","[DimJournal].[JournalType].&amp;[Debt Payment]",D$4)</f>
        <v>-132000</v>
      </c>
      <c r="E26" s="14" vm="25">
        <f t="shared" si="12"/>
        <v>-132000</v>
      </c>
    </row>
    <row r="27" spans="1:5" x14ac:dyDescent="0.25">
      <c r="A27" s="3" t="s">
        <v>25</v>
      </c>
      <c r="B27" s="3"/>
      <c r="C27" s="14" vm="19">
        <f>CUBEVALUE($H$2,"[Measures].[Reporting Amount]","[DimGLAccount].[GLAccountName].&amp;[Cash and Cash Equivalents]","[DimJournal].[JournalType].&amp;[Dividend]",C$4)</f>
        <v>-70000</v>
      </c>
      <c r="D27" s="14" vm="26">
        <f t="shared" ref="D27:E27" si="13">CUBEVALUE($H$2,"[Measures].[Reporting Amount]","[DimGLAccount].[GLAccountName].&amp;[Cash and Cash Equivalents]","[DimJournal].[JournalType].&amp;[Dividend]",D$4)</f>
        <v>-90000</v>
      </c>
      <c r="E27" s="14" vm="27">
        <f t="shared" si="13"/>
        <v>-115000</v>
      </c>
    </row>
    <row r="28" spans="1:5" x14ac:dyDescent="0.25">
      <c r="A28" s="12" t="s">
        <v>21</v>
      </c>
      <c r="B28" s="12"/>
      <c r="C28" s="17">
        <f>SUM(C24:C27)</f>
        <v>-202000</v>
      </c>
      <c r="D28" s="17">
        <f t="shared" ref="D28:E28" si="14">SUM(D24:D27)</f>
        <v>178000</v>
      </c>
      <c r="E28" s="17">
        <f t="shared" si="14"/>
        <v>-247000</v>
      </c>
    </row>
    <row r="29" spans="1:5" x14ac:dyDescent="0.25">
      <c r="C29" s="14"/>
      <c r="D29" s="14"/>
      <c r="E29" s="14"/>
    </row>
    <row r="30" spans="1:5" x14ac:dyDescent="0.25">
      <c r="A30" s="3" t="s">
        <v>26</v>
      </c>
      <c r="B30" s="5"/>
      <c r="C30" s="15">
        <f>SUM(C17,C21,C28)</f>
        <v>192163.08000000007</v>
      </c>
      <c r="D30" s="15">
        <f>SUM(D17,D21,D28)</f>
        <v>683065.18</v>
      </c>
      <c r="E30" s="15">
        <f>SUM(E17,E21,E28)</f>
        <v>299240.96999999997</v>
      </c>
    </row>
    <row r="31" spans="1:5" x14ac:dyDescent="0.25">
      <c r="A31" s="3" t="s">
        <v>27</v>
      </c>
      <c r="C31" s="14" vm="31">
        <f>CUBEVALUE($H$2,"[Measures].[Reporting Amount]","[DimGLAccount].[GLAccountName].&amp;[Cash and Cash Equivalents]","[DimJournal].[JournalType].&amp;[Opening Balance]",C$4)</f>
        <v>700000</v>
      </c>
      <c r="D31" s="14">
        <f>C32</f>
        <v>892163.08000000007</v>
      </c>
      <c r="E31" s="14">
        <f>D32</f>
        <v>1575228.2600000002</v>
      </c>
    </row>
    <row r="32" spans="1:5" x14ac:dyDescent="0.25">
      <c r="A32" s="3" t="s">
        <v>28</v>
      </c>
      <c r="C32" s="15">
        <f>SUM(C30:C31)</f>
        <v>892163.08000000007</v>
      </c>
      <c r="D32" s="15">
        <f t="shared" ref="D32:E32" si="15">SUM(D30:D31)</f>
        <v>1575228.2600000002</v>
      </c>
      <c r="E32" s="15">
        <f t="shared" si="15"/>
        <v>1874469.2300000002</v>
      </c>
    </row>
    <row r="33" spans="1:5" x14ac:dyDescent="0.25">
      <c r="C33" s="14"/>
      <c r="D33" s="14"/>
      <c r="E33" s="14"/>
    </row>
    <row r="34" spans="1:5" x14ac:dyDescent="0.25">
      <c r="A34" s="3" t="s">
        <v>29</v>
      </c>
      <c r="C34" s="14" vm="28">
        <f>CUBEVALUE($H$2,"[Measures].[Cumulative Balance]","[DimGLAccount].[GLAccountName].&amp;[Cash and Cash Equivalents]",C$4)</f>
        <v>892163.08</v>
      </c>
      <c r="D34" s="14" vm="29">
        <f t="shared" ref="D34:E34" si="16">CUBEVALUE($H$2,"[Measures].[Cumulative Balance]","[DimGLAccount].[GLAccountName].&amp;[Cash and Cash Equivalents]",D$4)</f>
        <v>1575228.26</v>
      </c>
      <c r="E34" s="14" vm="30">
        <f t="shared" si="16"/>
        <v>1874469.23</v>
      </c>
    </row>
    <row r="35" spans="1:5" x14ac:dyDescent="0.25">
      <c r="A35" s="3" t="s">
        <v>30</v>
      </c>
      <c r="C35" s="14">
        <f>ROUND(C32-C34,2)</f>
        <v>0</v>
      </c>
      <c r="D35" s="14">
        <f t="shared" ref="D35:E35" si="17">ROUND(D32-D34,2)</f>
        <v>0</v>
      </c>
      <c r="E35" s="14">
        <f t="shared" si="17"/>
        <v>0</v>
      </c>
    </row>
  </sheetData>
  <conditionalFormatting sqref="C35:E35">
    <cfRule type="expression" dxfId="0" priority="1">
      <formula>ABS(C36)&gt;0.01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Conection Check</vt:lpstr>
      <vt:lpstr>Cube Template</vt:lpstr>
      <vt:lpstr>Cash Flow 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Castillo</dc:creator>
  <cp:keywords/>
  <dc:description/>
  <cp:lastModifiedBy>Christian Alexander Castillo Solorzano</cp:lastModifiedBy>
  <cp:revision/>
  <dcterms:created xsi:type="dcterms:W3CDTF">2026-09-17T21:35:29Z</dcterms:created>
  <dcterms:modified xsi:type="dcterms:W3CDTF">2026-09-18T00:59:07Z</dcterms:modified>
  <cp:category/>
  <cp:contentStatus/>
</cp:coreProperties>
</file>